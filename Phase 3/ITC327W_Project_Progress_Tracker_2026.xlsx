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E:\WIL evidence\Phase3\SecretDesign_Phase3\"/>
    </mc:Choice>
  </mc:AlternateContent>
  <xr:revisionPtr revIDLastSave="0" documentId="13_ncr:1_{69A4FAAB-3922-4CDA-BC48-5319B36FD6E0}" xr6:coauthVersionLast="47" xr6:coauthVersionMax="47" xr10:uidLastSave="{00000000-0000-0000-0000-000000000000}"/>
  <bookViews>
    <workbookView xWindow="-28920" yWindow="-120" windowWidth="29040" windowHeight="15720" activeTab="1"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3" l="1"/>
  <c r="M5" i="3"/>
  <c r="M6" i="3"/>
  <c r="M7"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3" i="3"/>
  <c r="G15" i="2"/>
  <c r="G14" i="2"/>
  <c r="G13" i="2"/>
  <c r="G12" i="2"/>
  <c r="G8" i="2"/>
  <c r="G7" i="2"/>
  <c r="G6" i="2"/>
  <c r="G5" i="2"/>
  <c r="G4" i="2"/>
  <c r="G9" i="2" l="1"/>
</calcChain>
</file>

<file path=xl/sharedStrings.xml><?xml version="1.0" encoding="utf-8"?>
<sst xmlns="http://schemas.openxmlformats.org/spreadsheetml/2006/main" count="345" uniqueCount="234">
  <si>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</si>
  <si>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</si>
  <si>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</si>
  <si>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</si>
  <si>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</si>
  <si>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</si>
  <si>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</si>
  <si>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</si>
  <si>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</si>
  <si>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</si>
  <si>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</si>
  <si>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</si>
  <si>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</si>
  <si>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</si>
  <si>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</si>
  <si>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</si>
  <si>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</si>
  <si>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</si>
  <si>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</si>
  <si>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</si>
  <si>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</si>
  <si>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</si>
  <si>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</si>
  <si>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</si>
  <si>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</si>
  <si>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</si>
  <si>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</si>
  <si>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</si>
  <si>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</si>
  <si>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</si>
  <si>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</si>
  <si>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</si>
  <si>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</si>
  <si>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</si>
  <si>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</si>
  <si>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</si>
  <si>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</si>
  <si>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</si>
  <si>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</si>
  <si>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</si>
  <si>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</si>
  <si>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</si>
  <si>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</si>
  <si>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</si>
  <si>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</si>
  <si>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</si>
  <si>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</si>
  <si>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</si>
  <si>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</si>
  <si>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</si>
  <si>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</si>
  <si>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</si>
  <si>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</si>
  <si>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</si>
  <si>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</si>
  <si>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</si>
  <si>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</si>
  <si>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</si>
  <si>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</si>
  <si>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</si>
  <si>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</si>
  <si>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</si>
  <si>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</si>
  <si>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</si>
  <si>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</si>
  <si>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</si>
  <si>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</si>
  <si>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</si>
  <si>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</si>
  <si>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</si>
  <si>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</si>
  <si>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</si>
  <si>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Assigned Student</t>
  </si>
  <si>
    <t>Start Date</t>
  </si>
  <si>
    <t>Due Date</t>
  </si>
  <si>
    <t>Status</t>
  </si>
  <si>
    <t>% Complete</t>
  </si>
  <si>
    <t>Evidence / Link</t>
  </si>
  <si>
    <t>Verified by Group</t>
  </si>
  <si>
    <t>Lecturer Comment</t>
  </si>
  <si>
    <t>Progress Flag</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</si>
  <si>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</si>
  <si>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</si>
  <si>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</si>
  <si>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</si>
  <si>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</si>
  <si>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</si>
  <si>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</si>
  <si>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</si>
  <si>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</si>
  <si>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</si>
  <si>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</si>
  <si>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</si>
  <si>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</si>
  <si>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</si>
  <si>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</si>
  <si>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</si>
  <si>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</si>
  <si>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</si>
  <si>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</si>
  <si>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</si>
  <si>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</si>
  <si>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</si>
  <si>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</si>
  <si>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</si>
  <si>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</si>
  <si>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</si>
  <si>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</si>
  <si>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</si>
  <si>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</si>
  <si>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</si>
  <si>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</si>
  <si>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</si>
  <si>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</si>
  <si>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</si>
  <si>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</si>
  <si>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</si>
  <si>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</si>
  <si>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</si>
  <si>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</si>
  <si>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</si>
  <si>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</si>
  <si>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</si>
  <si>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</si>
  <si>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</si>
  <si>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</si>
  <si>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</si>
  <si>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</si>
  <si>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</si>
  <si>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</si>
  <si>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</si>
  <si>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</si>
  <si>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</si>
  <si>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</si>
  <si>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</si>
  <si>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</si>
  <si>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</si>
  <si>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</si>
  <si>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</si>
  <si>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</si>
  <si>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</si>
  <si>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</si>
  <si>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</si>
  <si>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</si>
  <si>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</si>
  <si>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</si>
  <si>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Secret Design</t>
  </si>
  <si>
    <t>Setshabelo Admission System</t>
  </si>
  <si>
    <t>Setshabelo Primary School</t>
  </si>
  <si>
    <t>Mr Elton Mokoduwe</t>
  </si>
  <si>
    <t>28/09/2026 - 30/10/2026</t>
  </si>
  <si>
    <t>Setting up Supabase as our database and intergrating both platforms (Flutter &amp; ASP.Net) to use the same database.</t>
  </si>
  <si>
    <t>Our main challenge was getting our mobile app (user side) to intergrate with Supabase. We managed fix the problem.</t>
  </si>
  <si>
    <t xml:space="preserve">To demonstrate that our prototype works perfectly on both the user side (Flutter) and admin side (ASP.net) using Supabase as a shared database.. </t>
  </si>
  <si>
    <t>22/10/2026</t>
  </si>
  <si>
    <t>Site Visit</t>
  </si>
  <si>
    <t>Demonstrate prototype to stakeholder and get feedback.</t>
  </si>
  <si>
    <t>Whole Group</t>
  </si>
  <si>
    <t>The prototype works perfectly on both mobile (Flutter) and web (web version). The stakeholder was very pleased with our work and the prototype</t>
  </si>
  <si>
    <t>There is no further action required</t>
  </si>
  <si>
    <t>Yes</t>
  </si>
  <si>
    <t>30/10/2026</t>
  </si>
  <si>
    <t>Develpoment of the prototype. Integrating both Flutter and ASP.net to the same database (Supabase). Completion of prototype. Manual testing and fixing of errors in prototype</t>
  </si>
  <si>
    <t>N/A</t>
  </si>
  <si>
    <t>All development elements in this phase because they are all interdependent for the prototype to work perfectly and as intended</t>
  </si>
  <si>
    <t>No, every member contributed equally in this phase</t>
  </si>
  <si>
    <t>This is the final phase of the system</t>
  </si>
  <si>
    <t>Development and manual testing of prototype</t>
  </si>
  <si>
    <t>Yes all mambers contributed fairly, all members worked on their tasks diligently and we all helped each other if ever a group member was having a problem with their particular task in the develpoment of the prototype</t>
  </si>
  <si>
    <t>Capturing user information on mobile app</t>
  </si>
  <si>
    <t xml:space="preserve">We had to fix this issue before moving on to other aspects of the development </t>
  </si>
  <si>
    <t>Relebohile Thito</t>
  </si>
  <si>
    <t>19/10/2026</t>
  </si>
  <si>
    <t>Resolved</t>
  </si>
  <si>
    <t>16/10/2026</t>
  </si>
  <si>
    <t>Integrating Flutter with Supabase</t>
  </si>
  <si>
    <t>The error caused us to fix the issue before moving on to other tests</t>
  </si>
  <si>
    <t>Lebohang Molise</t>
  </si>
  <si>
    <t>We divided ourselves into two groups of three people: Relebohile Thito, Tshepo M Masimong and Njabulo R.A. Mthethwa were assigned to wotk on the mobile app (Flutter). Lebohang Molise, Lonwabo Sifumba and Andries M Matona were assigned to work on the web version (ASP.Net). Integration to Supabase was done by the whole group</t>
  </si>
  <si>
    <t>U4-01</t>
  </si>
  <si>
    <t>U4-02</t>
  </si>
  <si>
    <t>U4-03</t>
  </si>
  <si>
    <t>U4-04</t>
  </si>
  <si>
    <t>Activity 4.1</t>
  </si>
  <si>
    <t>Set up and implement shared Supabase backend</t>
  </si>
  <si>
    <t>05/10/2026</t>
  </si>
  <si>
    <t>Activity 4.2</t>
  </si>
  <si>
    <t>Develop Flutter application</t>
  </si>
  <si>
    <t>Relebohile Thito, Tshepo M Masimong, Njabulo R.A. Mthethwa</t>
  </si>
  <si>
    <t>Activity 4.3</t>
  </si>
  <si>
    <t>Develop ASP.Net application</t>
  </si>
  <si>
    <t>Lebohang Molise, Andries M Matona, Lonwabo Sifuba</t>
  </si>
  <si>
    <t>Activity 4.4</t>
  </si>
  <si>
    <t>Integrate Flutter and ASP.Net with Supabase</t>
  </si>
  <si>
    <t>Integrating the prototype to Supabase especially on the mobile app (Flutter): We made a mistake of API Keys as we were coding the prototype.</t>
  </si>
  <si>
    <t xml:space="preserve">A change was made to one one of the methods used </t>
  </si>
  <si>
    <t>The correct API Key was used to connect Flutter and Supabase</t>
  </si>
  <si>
    <t>13/10/2026</t>
  </si>
  <si>
    <t>14/10/2026</t>
  </si>
  <si>
    <t>U5-01</t>
  </si>
  <si>
    <t>Activity 5</t>
  </si>
  <si>
    <t>Prototype completion and manual testing</t>
  </si>
  <si>
    <t>Whole group</t>
  </si>
  <si>
    <t>21/10/2026</t>
  </si>
  <si>
    <t>Setting up and integrate Supabase</t>
  </si>
  <si>
    <t>Assigned Resonsibility</t>
  </si>
  <si>
    <t>06/10/2026</t>
  </si>
  <si>
    <t>Tshepo M Masimong</t>
  </si>
  <si>
    <t>Njabulo R.A. Mthethwa</t>
  </si>
  <si>
    <t>Andries M Matona</t>
  </si>
  <si>
    <t>Lonwabo Sifumba</t>
  </si>
  <si>
    <t>28/10/2026</t>
  </si>
  <si>
    <t>23/10/2026</t>
  </si>
  <si>
    <t>Worked on view models, school achievements screen, my application details screen and applications screen</t>
  </si>
  <si>
    <t>Set up Supabase as  our database and integrated both Flutter and ASP.Net with Supabase</t>
  </si>
  <si>
    <t>Manually tested the application on both both platforms for errors and to see if it works perfectly</t>
  </si>
  <si>
    <t>Integrate Supabase with Flutter and ASP.NET</t>
  </si>
  <si>
    <t>Worked on project configuration, models class, profile screen, application form with steps screen and parent dashboard screen</t>
  </si>
  <si>
    <t>Worked on the supabase services part of the mobile application, login screen, register screen and update screen</t>
  </si>
  <si>
    <t>Worked on the views of the web application for it to have similar look to the mobile application</t>
  </si>
  <si>
    <t>Worked with Andries on the look of the web application and worked on the viewmodels</t>
  </si>
  <si>
    <t>Connected the web and mobile application with the backend</t>
  </si>
  <si>
    <t>Signed confirmation document found on the SRS</t>
  </si>
  <si>
    <t>Develop and Test Flutter application</t>
  </si>
  <si>
    <t>Develop and Test ASP.NET application</t>
  </si>
  <si>
    <t>Develeop and Test ASP.NET application</t>
  </si>
  <si>
    <t>https://supabase.com/dashboard/project/hrkzdekzmqjiejjuwybh/editor/25507?schema=public</t>
  </si>
  <si>
    <t>https://github.com/WIL-Project-Hub/Setshabelo-Integrated-Flutter-Mobile-Application</t>
  </si>
  <si>
    <t>https://github.com/WIL-Project-Hub/Setshabelo-Integrated-Website-Application</t>
  </si>
  <si>
    <t xml:space="preserve">Worked on project configugation, controllers and services. Worked on the admin side of the web application </t>
  </si>
  <si>
    <t>Mr F.M kgomoaleburu</t>
  </si>
  <si>
    <t>We helped each other whenever there were delays, on conflicts we tried by all means to resolve them as soon as possible so that we can finish the prototype in the specified time we had</t>
  </si>
  <si>
    <t xml:space="preserve">Developing the prototype: As a group we were already familiar with Flutter and ASP.net. </t>
  </si>
  <si>
    <t>The stakeholder was pleased with the prototype demonstrated and how easy it was to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</si>
</sst>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8">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sz val="8"/>
      <name val="Carlito"/>
    </font>
    <font>
      <u/>
      <sz val="11"/>
      <color theme="10"/>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7" fillId="0" borderId="0" applyNumberFormat="0" applyFill="0" applyBorder="0" applyAlignment="0" applyProtection="0"/>
  </cellStyleXfs>
  <cellXfs count="38">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165" fontId="0" fillId="0" borderId="8" xfId="0" applyNumberFormat="1" applyBorder="1" applyAlignment="1">
      <alignment vertical="top" wrapText="1"/>
    </xf>
    <xf numFmtId="166" fontId="0" fillId="0" borderId="8" xfId="0" applyNumberFormat="1" applyBorder="1" applyAlignment="1">
      <alignment vertical="top" wrapText="1"/>
    </xf>
    <xf numFmtId="0" fontId="0" fillId="0" borderId="6" xfId="0" applyBorder="1" applyAlignment="1">
      <alignment vertical="top" wrapText="1"/>
    </xf>
    <xf numFmtId="167" fontId="0" fillId="0" borderId="0" xfId="0" applyNumberFormat="1" applyAlignment="1">
      <alignment vertical="top" wrapText="1"/>
    </xf>
    <xf numFmtId="167" fontId="0" fillId="0" borderId="8" xfId="0" applyNumberFormat="1" applyBorder="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0" fillId="0" borderId="6" xfId="0" applyBorder="1"/>
    <xf numFmtId="0" fontId="7" fillId="0" borderId="0" xfId="1" applyAlignment="1">
      <alignment vertical="top" wrapText="1"/>
    </xf>
    <xf numFmtId="0" fontId="1" fillId="2" borderId="0" xfId="0" applyFont="1" applyFill="1" applyAlignment="1">
      <alignment horizontal="left" vertical="center"/>
    </xf>
    <xf numFmtId="0" fontId="2" fillId="3" borderId="0" xfId="0" applyFont="1" applyFill="1" applyAlignment="1">
      <alignment vertical="top" wrapText="1"/>
    </xf>
    <xf numFmtId="0" fontId="3" fillId="5" borderId="1" xfId="0" applyFont="1" applyFill="1" applyBorder="1" applyAlignment="1">
      <alignment horizontal="left" vertical="center"/>
    </xf>
    <xf numFmtId="0" fontId="3" fillId="5" borderId="2" xfId="0" applyFont="1" applyFill="1" applyBorder="1" applyAlignment="1">
      <alignment horizontal="left" vertical="center"/>
    </xf>
    <xf numFmtId="0" fontId="3" fillId="5" borderId="0" xfId="0" applyFont="1" applyFill="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cellXfs>
  <cellStyles count="2">
    <cellStyle name="Hyperlink" xfId="1" builtinId="8"/>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5</c:v>
                </c:pt>
                <c:pt idx="1">
                  <c:v>0</c:v>
                </c:pt>
                <c:pt idx="2">
                  <c:v>0</c:v>
                </c:pt>
                <c:pt idx="3">
                  <c:v>0</c:v>
                </c:pt>
                <c:pt idx="4">
                  <c:v>0</c:v>
                </c:pt>
                <c:pt idx="5">
                  <c:v>0</c:v>
                </c:pt>
              </c:numCache>
            </c:numRef>
          </c:val>
          <c:extLst>
            <c:ext xmlns:c16="http://schemas.microsoft.com/office/drawing/2014/chart" uri="{C3380CC4-5D6E-409C-BE32-E72D297353CC}">
              <c16:uniqueId val="{00000000-4C57-44A1-960B-5FA608E48BA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1">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github.com/WIL-Project-Hub/Setshabelo-Integrated-Website-Application" TargetMode="External"/><Relationship Id="rId7" Type="http://schemas.openxmlformats.org/officeDocument/2006/relationships/hyperlink" Target="https://github.com/WIL-Project-Hub/Setshabelo-Integrated-Flutter-Mobile-Application" TargetMode="External"/><Relationship Id="rId2" Type="http://schemas.openxmlformats.org/officeDocument/2006/relationships/hyperlink" Target="https://github.com/WIL-Project-Hub/Setshabelo-Integrated-Website-Application" TargetMode="External"/><Relationship Id="rId1" Type="http://schemas.openxmlformats.org/officeDocument/2006/relationships/hyperlink" Target="https://supabase.com/dashboard/project/hrkzdekzmqjiejjuwybh/editor/25507?schema=public" TargetMode="External"/><Relationship Id="rId6" Type="http://schemas.openxmlformats.org/officeDocument/2006/relationships/hyperlink" Target="https://github.com/WIL-Project-Hub/Setshabelo-Integrated-Flutter-Mobile-Application" TargetMode="External"/><Relationship Id="rId5" Type="http://schemas.openxmlformats.org/officeDocument/2006/relationships/hyperlink" Target="https://github.com/WIL-Project-Hub/Setshabelo-Integrated-Flutter-Mobile-Application" TargetMode="External"/><Relationship Id="rId4" Type="http://schemas.openxmlformats.org/officeDocument/2006/relationships/hyperlink" Target="https://github.com/WIL-Project-Hub/Setshabelo-Integrated-Website-Application"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selection sqref="A1:H1"/>
    </sheetView>
  </sheetViews>
  <sheetFormatPr defaultRowHeight="13.8"/>
  <cols>
    <col min="1" max="1" width="24" customWidth="1"/>
    <col min="2" max="2" width="48" customWidth="1"/>
    <col min="3" max="3" width="3" customWidth="1"/>
    <col min="4" max="4" width="10" customWidth="1"/>
    <col min="5" max="5" width="54" customWidth="1"/>
    <col min="6" max="8" width="12" customWidth="1"/>
  </cols>
  <sheetData>
    <row r="1" spans="1:8" ht="30" customHeight="1">
      <c r="A1" s="30" t="s">
        <v>0</v>
      </c>
      <c r="B1" s="30"/>
      <c r="C1" s="30"/>
      <c r="D1" s="30"/>
      <c r="E1" s="30"/>
      <c r="F1" s="30"/>
      <c r="G1" s="30"/>
      <c r="H1" s="30"/>
    </row>
    <row r="3" spans="1:8" ht="42" customHeight="1">
      <c r="A3" s="31" t="s">
        <v>1</v>
      </c>
      <c r="B3" s="31"/>
      <c r="C3" s="31"/>
      <c r="D3" s="31"/>
      <c r="E3" s="31"/>
      <c r="F3" s="31"/>
      <c r="G3" s="31"/>
      <c r="H3" s="31"/>
    </row>
    <row r="5" spans="1:8">
      <c r="A5" s="1" t="s">
        <v>2</v>
      </c>
      <c r="B5" s="2" t="s">
        <v>3</v>
      </c>
      <c r="D5" s="32" t="s">
        <v>4</v>
      </c>
      <c r="E5" s="33"/>
      <c r="F5" s="34"/>
      <c r="G5" s="34"/>
      <c r="H5" s="34"/>
    </row>
    <row r="6" spans="1:8" ht="33.9" customHeight="1">
      <c r="A6" s="3" t="s">
        <v>5</v>
      </c>
      <c r="B6" s="4" t="s">
        <v>6</v>
      </c>
      <c r="D6" s="3" t="s">
        <v>7</v>
      </c>
      <c r="E6" s="4" t="s">
        <v>8</v>
      </c>
    </row>
    <row r="7" spans="1:8" ht="33.9" customHeight="1">
      <c r="A7" s="3" t="s">
        <v>9</v>
      </c>
      <c r="B7" s="4" t="s">
        <v>10</v>
      </c>
      <c r="D7" s="3" t="s">
        <v>11</v>
      </c>
      <c r="E7" s="4" t="s">
        <v>12</v>
      </c>
    </row>
    <row r="8" spans="1:8" ht="33.9" customHeight="1">
      <c r="A8" s="3" t="s">
        <v>13</v>
      </c>
      <c r="B8" s="4" t="s">
        <v>14</v>
      </c>
      <c r="D8" s="3" t="s">
        <v>15</v>
      </c>
      <c r="E8" s="4" t="s">
        <v>16</v>
      </c>
    </row>
    <row r="9" spans="1:8" ht="33.9" customHeight="1">
      <c r="A9" s="3" t="s">
        <v>17</v>
      </c>
      <c r="B9" s="4" t="s">
        <v>18</v>
      </c>
      <c r="D9" s="3" t="s">
        <v>19</v>
      </c>
      <c r="E9" s="4" t="s">
        <v>20</v>
      </c>
    </row>
    <row r="10" spans="1:8" ht="33.9" customHeight="1">
      <c r="A10" s="3" t="s">
        <v>21</v>
      </c>
      <c r="B10" s="4" t="s">
        <v>22</v>
      </c>
      <c r="D10" s="3" t="s">
        <v>23</v>
      </c>
      <c r="E10" s="4" t="s">
        <v>24</v>
      </c>
    </row>
    <row r="11" spans="1:8" ht="33.9" customHeight="1">
      <c r="A11" s="3" t="s">
        <v>25</v>
      </c>
      <c r="B11" s="4" t="s">
        <v>26</v>
      </c>
      <c r="D11" s="5" t="s">
        <v>27</v>
      </c>
      <c r="E11" s="6" t="s">
        <v>28</v>
      </c>
    </row>
    <row r="12" spans="1:8" ht="27.6">
      <c r="A12" s="5" t="s">
        <v>29</v>
      </c>
      <c r="B12" s="6" t="s">
        <v>30</v>
      </c>
    </row>
    <row r="13" spans="1:8">
      <c r="D13" s="32" t="s">
        <v>31</v>
      </c>
      <c r="E13" s="33"/>
      <c r="F13" s="34"/>
      <c r="G13" s="34"/>
      <c r="H13" s="34"/>
    </row>
    <row r="14" spans="1:8" ht="27.6">
      <c r="D14" s="3" t="s">
        <v>32</v>
      </c>
      <c r="E14" s="4" t="s">
        <v>33</v>
      </c>
    </row>
    <row r="15" spans="1:8">
      <c r="D15" s="3" t="s">
        <v>34</v>
      </c>
      <c r="E15" s="4" t="s">
        <v>35</v>
      </c>
    </row>
    <row r="16" spans="1:8">
      <c r="D16" s="3" t="s">
        <v>36</v>
      </c>
      <c r="E16" s="4" t="s">
        <v>37</v>
      </c>
    </row>
    <row r="17" spans="4: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tabSelected="1" workbookViewId="0">
      <selection activeCell="B14" sqref="B14"/>
    </sheetView>
  </sheetViews>
  <sheetFormatPr defaultRowHeight="13.8"/>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30" customHeight="1">
      <c r="A1" s="30" t="s">
        <v>40</v>
      </c>
      <c r="B1" s="30"/>
      <c r="C1" s="30"/>
      <c r="D1" s="30"/>
      <c r="E1" s="30"/>
      <c r="F1" s="30"/>
      <c r="G1" s="30"/>
      <c r="H1" s="30"/>
      <c r="I1" s="30"/>
      <c r="J1" s="30"/>
      <c r="K1" s="30"/>
      <c r="L1" s="30"/>
    </row>
    <row r="3" spans="1:12">
      <c r="A3" s="1" t="s">
        <v>41</v>
      </c>
      <c r="B3" s="2" t="s">
        <v>42</v>
      </c>
      <c r="F3" s="1" t="s">
        <v>43</v>
      </c>
      <c r="G3" s="2" t="s">
        <v>44</v>
      </c>
    </row>
    <row r="4" spans="1:12" ht="27.9" customHeight="1">
      <c r="A4" s="3" t="s">
        <v>45</v>
      </c>
      <c r="B4" s="7" t="s">
        <v>146</v>
      </c>
      <c r="F4" s="3" t="s">
        <v>46</v>
      </c>
      <c r="G4" s="10">
        <f>COUNTIF('Task Progress'!H2:H101,"Completed")</f>
        <v>5</v>
      </c>
    </row>
    <row r="5" spans="1:12" ht="27.9" customHeight="1">
      <c r="A5" s="3" t="s">
        <v>47</v>
      </c>
      <c r="B5" s="7" t="s">
        <v>147</v>
      </c>
      <c r="F5" s="3" t="s">
        <v>48</v>
      </c>
      <c r="G5" s="10">
        <f>COUNTIF('Task Progress'!H2:H101,"In Progress")</f>
        <v>0</v>
      </c>
    </row>
    <row r="6" spans="1:12" ht="27.9" customHeight="1">
      <c r="A6" s="3" t="s">
        <v>49</v>
      </c>
      <c r="B6" s="7" t="s">
        <v>148</v>
      </c>
      <c r="F6" s="3" t="s">
        <v>50</v>
      </c>
      <c r="G6" s="10">
        <f>COUNTIF('Task Progress'!H2:H101,"Not Started")</f>
        <v>0</v>
      </c>
    </row>
    <row r="7" spans="1:12" ht="27.9" customHeight="1">
      <c r="A7" s="3" t="s">
        <v>51</v>
      </c>
      <c r="B7" s="7" t="s">
        <v>149</v>
      </c>
      <c r="F7" s="3" t="s">
        <v>52</v>
      </c>
      <c r="G7" s="10">
        <f>COUNTIF('Task Progress'!H2:H101,"Delayed")</f>
        <v>0</v>
      </c>
    </row>
    <row r="8" spans="1:12" ht="27.9" customHeight="1">
      <c r="A8" s="3" t="s">
        <v>53</v>
      </c>
      <c r="B8" s="7" t="s">
        <v>36</v>
      </c>
      <c r="F8" s="3" t="s">
        <v>54</v>
      </c>
      <c r="G8" s="10">
        <f>COUNTIF('Task Progress'!H2:H101,"Blocked")</f>
        <v>0</v>
      </c>
    </row>
    <row r="9" spans="1:12" ht="27.9" customHeight="1">
      <c r="A9" s="3" t="s">
        <v>55</v>
      </c>
      <c r="B9" s="7" t="s">
        <v>150</v>
      </c>
      <c r="F9" s="5" t="s">
        <v>56</v>
      </c>
      <c r="G9" s="11">
        <f ca="1">COUNTIF('Task Progress'!M2:M101,"Overdue")</f>
        <v>0</v>
      </c>
    </row>
    <row r="10" spans="1:12" ht="27.9" customHeight="1">
      <c r="A10" s="3" t="s">
        <v>57</v>
      </c>
      <c r="B10" s="7" t="s">
        <v>46</v>
      </c>
    </row>
    <row r="11" spans="1:12" ht="27.9" customHeight="1">
      <c r="A11" s="3" t="s">
        <v>58</v>
      </c>
      <c r="B11" s="8">
        <v>1</v>
      </c>
      <c r="F11" s="1" t="s">
        <v>59</v>
      </c>
      <c r="G11" s="2" t="s">
        <v>44</v>
      </c>
    </row>
    <row r="12" spans="1:12" ht="48" customHeight="1">
      <c r="A12" s="3" t="s">
        <v>60</v>
      </c>
      <c r="B12" s="7" t="s">
        <v>151</v>
      </c>
      <c r="F12" s="3" t="s">
        <v>61</v>
      </c>
      <c r="G12" s="10">
        <f>COUNTIF('Individual Contributions'!E3:E201,"?*")</f>
        <v>9</v>
      </c>
    </row>
    <row r="13" spans="1:12" ht="48" customHeight="1">
      <c r="A13" s="3" t="s">
        <v>62</v>
      </c>
      <c r="B13" s="7" t="s">
        <v>152</v>
      </c>
      <c r="F13" s="3" t="s">
        <v>63</v>
      </c>
      <c r="G13" s="10">
        <f>COUNTIFS('Individual Contributions'!E3:E201,"?*",'Individual Contributions'!J3:J201,"Yes")</f>
        <v>9</v>
      </c>
    </row>
    <row r="14" spans="1:12" ht="48" customHeight="1">
      <c r="A14" s="5" t="s">
        <v>64</v>
      </c>
      <c r="B14" s="9" t="s">
        <v>153</v>
      </c>
      <c r="F14" s="3" t="s">
        <v>65</v>
      </c>
      <c r="G14" s="10">
        <f>COUNTIFS('Individual Contributions'!E3:E201,"?*",'Individual Contributions'!J3:J201,"No")</f>
        <v>0</v>
      </c>
    </row>
    <row r="15" spans="1:12">
      <c r="F15" s="5" t="s">
        <v>66</v>
      </c>
      <c r="G15" s="11">
        <f>COUNT('Stakeholder Engagement'!A3:A101)</f>
        <v>0</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workbookViewId="0">
      <selection activeCell="G10" sqref="G10"/>
    </sheetView>
  </sheetViews>
  <sheetFormatPr defaultRowHeight="13.8"/>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30" customHeight="1">
      <c r="A1" s="30" t="s">
        <v>67</v>
      </c>
      <c r="B1" s="30"/>
      <c r="C1" s="30"/>
      <c r="D1" s="30"/>
      <c r="E1" s="30"/>
      <c r="F1" s="30"/>
      <c r="G1" s="30"/>
      <c r="H1" s="30"/>
      <c r="I1" s="30"/>
      <c r="J1" s="30"/>
      <c r="K1" s="30"/>
      <c r="L1" s="30"/>
      <c r="M1" s="30"/>
    </row>
    <row r="2" spans="1:13" ht="27.6">
      <c r="A2" s="1" t="s">
        <v>68</v>
      </c>
      <c r="B2" s="15" t="s">
        <v>69</v>
      </c>
      <c r="C2" s="15" t="s">
        <v>70</v>
      </c>
      <c r="D2" s="15" t="s">
        <v>71</v>
      </c>
      <c r="E2" s="15" t="s">
        <v>72</v>
      </c>
      <c r="F2" s="15" t="s">
        <v>73</v>
      </c>
      <c r="G2" s="15" t="s">
        <v>74</v>
      </c>
      <c r="H2" s="15" t="s">
        <v>75</v>
      </c>
      <c r="I2" s="15" t="s">
        <v>76</v>
      </c>
      <c r="J2" s="15" t="s">
        <v>77</v>
      </c>
      <c r="K2" s="15" t="s">
        <v>78</v>
      </c>
      <c r="L2" s="15" t="s">
        <v>79</v>
      </c>
      <c r="M2" s="2" t="s">
        <v>80</v>
      </c>
    </row>
    <row r="3" spans="1:13" ht="56.25" customHeight="1">
      <c r="A3" s="16" t="s">
        <v>179</v>
      </c>
      <c r="B3" s="12" t="s">
        <v>36</v>
      </c>
      <c r="C3" s="12" t="s">
        <v>183</v>
      </c>
      <c r="D3" s="12" t="s">
        <v>184</v>
      </c>
      <c r="E3" s="12" t="s">
        <v>177</v>
      </c>
      <c r="F3" s="13" t="s">
        <v>211</v>
      </c>
      <c r="G3" s="13" t="s">
        <v>185</v>
      </c>
      <c r="H3" s="12" t="s">
        <v>46</v>
      </c>
      <c r="I3" s="14">
        <v>100</v>
      </c>
      <c r="J3" s="12"/>
      <c r="K3" s="12" t="s">
        <v>160</v>
      </c>
      <c r="L3" s="12"/>
      <c r="M3" s="17" t="str">
        <f t="shared" ref="M3:M34" ca="1" si="0">IF(D3="","",IF(H3="Completed","Completed",IF(H3="Blocked","Blocked",IF(H3="Delayed","Delayed",IF(AND(G3&lt;&gt;"",G3&lt;TODAY(),H3&lt;&gt;"Completed"),"Overdue","On Track")))))</f>
        <v>Completed</v>
      </c>
    </row>
    <row r="4" spans="1:13" ht="41.4">
      <c r="A4" s="16" t="s">
        <v>180</v>
      </c>
      <c r="B4" s="12" t="s">
        <v>36</v>
      </c>
      <c r="C4" s="12" t="s">
        <v>186</v>
      </c>
      <c r="D4" s="12" t="s">
        <v>187</v>
      </c>
      <c r="E4" s="12" t="s">
        <v>188</v>
      </c>
      <c r="F4" s="13" t="s">
        <v>206</v>
      </c>
      <c r="G4" s="13" t="s">
        <v>197</v>
      </c>
      <c r="H4" s="12" t="s">
        <v>46</v>
      </c>
      <c r="I4" s="14">
        <v>100</v>
      </c>
      <c r="J4" s="12"/>
      <c r="K4" s="12" t="s">
        <v>160</v>
      </c>
      <c r="L4" s="12"/>
      <c r="M4" s="17" t="str">
        <f t="shared" ref="M4:M7" ca="1" si="1">IF(D4="","",IF(H4="Completed","Completed",IF(H4="Blocked","Blocked",IF(H4="Delayed","Delayed",IF(AND(G4&lt;&gt;"",G4&lt;TODAY(),H4&lt;&gt;"Completed"),"Overdue","On Track")))))</f>
        <v>Completed</v>
      </c>
    </row>
    <row r="5" spans="1:13" ht="51" customHeight="1">
      <c r="A5" s="16" t="s">
        <v>181</v>
      </c>
      <c r="B5" s="12" t="s">
        <v>36</v>
      </c>
      <c r="C5" s="12" t="s">
        <v>189</v>
      </c>
      <c r="D5" s="12" t="s">
        <v>190</v>
      </c>
      <c r="E5" s="12" t="s">
        <v>191</v>
      </c>
      <c r="F5" s="13" t="s">
        <v>206</v>
      </c>
      <c r="G5" s="13" t="s">
        <v>197</v>
      </c>
      <c r="H5" s="12" t="s">
        <v>46</v>
      </c>
      <c r="I5" s="14">
        <v>100</v>
      </c>
      <c r="J5" s="12"/>
      <c r="K5" s="12" t="s">
        <v>160</v>
      </c>
      <c r="L5" s="12"/>
      <c r="M5" s="17" t="str">
        <f t="shared" ca="1" si="1"/>
        <v>Completed</v>
      </c>
    </row>
    <row r="6" spans="1:13">
      <c r="A6" s="16" t="s">
        <v>182</v>
      </c>
      <c r="B6" s="12" t="s">
        <v>36</v>
      </c>
      <c r="C6" s="12" t="s">
        <v>192</v>
      </c>
      <c r="D6" s="12" t="s">
        <v>193</v>
      </c>
      <c r="E6" s="12" t="s">
        <v>177</v>
      </c>
      <c r="F6" s="13" t="s">
        <v>198</v>
      </c>
      <c r="G6" s="13" t="s">
        <v>174</v>
      </c>
      <c r="H6" s="12" t="s">
        <v>46</v>
      </c>
      <c r="I6" s="14">
        <v>100</v>
      </c>
      <c r="J6" s="12"/>
      <c r="K6" s="12" t="s">
        <v>160</v>
      </c>
      <c r="L6" s="12"/>
      <c r="M6" s="17" t="str">
        <f t="shared" ca="1" si="1"/>
        <v>Completed</v>
      </c>
    </row>
    <row r="7" spans="1:13">
      <c r="A7" s="16" t="s">
        <v>199</v>
      </c>
      <c r="B7" s="12" t="s">
        <v>36</v>
      </c>
      <c r="C7" s="12" t="s">
        <v>200</v>
      </c>
      <c r="D7" s="12" t="s">
        <v>201</v>
      </c>
      <c r="E7" s="12" t="s">
        <v>202</v>
      </c>
      <c r="F7" s="13" t="s">
        <v>172</v>
      </c>
      <c r="G7" s="13" t="s">
        <v>212</v>
      </c>
      <c r="H7" s="12" t="s">
        <v>46</v>
      </c>
      <c r="I7" s="14">
        <v>100</v>
      </c>
      <c r="J7" s="12"/>
      <c r="K7" s="12" t="s">
        <v>160</v>
      </c>
      <c r="L7" s="12"/>
      <c r="M7" s="17" t="str">
        <f t="shared" ca="1" si="1"/>
        <v>Completed</v>
      </c>
    </row>
    <row r="8" spans="1:13">
      <c r="A8" s="16"/>
      <c r="B8" s="12"/>
      <c r="C8" s="12"/>
      <c r="D8" s="12"/>
      <c r="E8" s="12"/>
      <c r="F8" s="13"/>
      <c r="G8" s="13"/>
      <c r="H8" s="12"/>
      <c r="I8" s="14"/>
      <c r="J8" s="12"/>
      <c r="K8" s="12"/>
      <c r="L8" s="12"/>
      <c r="M8" s="17"/>
    </row>
    <row r="9" spans="1:13">
      <c r="A9" s="16"/>
      <c r="B9" s="12"/>
      <c r="C9" s="12"/>
      <c r="D9" s="12"/>
      <c r="E9" s="12"/>
      <c r="F9" s="13"/>
      <c r="G9" s="13"/>
      <c r="H9" s="12"/>
      <c r="I9" s="14"/>
      <c r="J9" s="12"/>
      <c r="K9" s="12"/>
      <c r="L9" s="12"/>
      <c r="M9" s="17"/>
    </row>
    <row r="10" spans="1:13">
      <c r="A10" s="16"/>
      <c r="B10" s="12"/>
      <c r="C10" s="12"/>
      <c r="D10" s="12"/>
      <c r="E10" s="12"/>
      <c r="F10" s="13"/>
      <c r="G10" s="13"/>
      <c r="H10" s="12"/>
      <c r="I10" s="14"/>
      <c r="J10" s="12"/>
      <c r="K10" s="12"/>
      <c r="L10" s="12"/>
      <c r="M10" s="17"/>
    </row>
    <row r="11" spans="1:13">
      <c r="A11" s="16"/>
      <c r="B11" s="12"/>
      <c r="C11" s="12"/>
      <c r="D11" s="12"/>
      <c r="E11" s="12"/>
      <c r="F11" s="13"/>
      <c r="G11" s="13"/>
      <c r="H11" s="12"/>
      <c r="I11" s="14"/>
      <c r="J11" s="12"/>
      <c r="K11" s="12"/>
      <c r="L11" s="12"/>
      <c r="M11" s="17"/>
    </row>
    <row r="12" spans="1:13">
      <c r="A12" s="16"/>
      <c r="B12" s="12"/>
      <c r="C12" s="12"/>
      <c r="D12" s="12"/>
      <c r="E12" s="12"/>
      <c r="F12" s="13"/>
      <c r="G12" s="13"/>
      <c r="H12" s="12"/>
      <c r="I12" s="14"/>
      <c r="J12" s="12"/>
      <c r="K12" s="12"/>
      <c r="L12" s="12"/>
      <c r="M12" s="17"/>
    </row>
    <row r="13" spans="1:13">
      <c r="A13" s="16"/>
      <c r="B13" s="12"/>
      <c r="C13" s="12"/>
      <c r="D13" s="12"/>
      <c r="E13" s="12"/>
      <c r="F13" s="13"/>
      <c r="G13" s="13"/>
      <c r="H13" s="12"/>
      <c r="I13" s="14"/>
      <c r="J13" s="12"/>
      <c r="K13" s="12"/>
      <c r="L13" s="12"/>
      <c r="M13" s="17"/>
    </row>
    <row r="14" spans="1:13">
      <c r="A14" s="16"/>
      <c r="B14" s="12"/>
      <c r="C14" s="12"/>
      <c r="D14" s="12"/>
      <c r="E14" s="12"/>
      <c r="F14" s="13"/>
      <c r="G14" s="13"/>
      <c r="H14" s="12"/>
      <c r="I14" s="14"/>
      <c r="J14" s="12"/>
      <c r="K14" s="12"/>
      <c r="L14" s="12"/>
      <c r="M14" s="17" t="str">
        <f t="shared" ca="1" si="0"/>
        <v/>
      </c>
    </row>
    <row r="15" spans="1:13">
      <c r="A15" s="16"/>
      <c r="B15" s="12"/>
      <c r="C15" s="12"/>
      <c r="D15" s="12"/>
      <c r="E15" s="12"/>
      <c r="F15" s="13"/>
      <c r="G15" s="13"/>
      <c r="H15" s="12"/>
      <c r="I15" s="14"/>
      <c r="J15" s="12"/>
      <c r="K15" s="12"/>
      <c r="L15" s="12"/>
      <c r="M15" s="17" t="str">
        <f t="shared" ca="1" si="0"/>
        <v/>
      </c>
    </row>
    <row r="16" spans="1:13">
      <c r="A16" s="16"/>
      <c r="B16" s="12"/>
      <c r="C16" s="12"/>
      <c r="D16" s="12"/>
      <c r="E16" s="12"/>
      <c r="F16" s="13"/>
      <c r="G16" s="13"/>
      <c r="H16" s="12"/>
      <c r="I16" s="14"/>
      <c r="J16" s="12"/>
      <c r="K16" s="12"/>
      <c r="L16" s="12"/>
      <c r="M16" s="17" t="str">
        <f t="shared" ca="1" si="0"/>
        <v/>
      </c>
    </row>
    <row r="17" spans="1:13">
      <c r="A17" s="16"/>
      <c r="B17" s="12"/>
      <c r="C17" s="12"/>
      <c r="D17" s="12"/>
      <c r="E17" s="12"/>
      <c r="F17" s="13"/>
      <c r="G17" s="13"/>
      <c r="H17" s="12"/>
      <c r="I17" s="14"/>
      <c r="J17" s="12"/>
      <c r="K17" s="12"/>
      <c r="L17" s="12"/>
      <c r="M17" s="17" t="str">
        <f t="shared" ca="1" si="0"/>
        <v/>
      </c>
    </row>
    <row r="18" spans="1:13">
      <c r="A18" s="16"/>
      <c r="B18" s="12"/>
      <c r="C18" s="12"/>
      <c r="D18" s="12"/>
      <c r="E18" s="12"/>
      <c r="F18" s="13"/>
      <c r="G18" s="13"/>
      <c r="H18" s="12"/>
      <c r="I18" s="14"/>
      <c r="J18" s="12"/>
      <c r="K18" s="12"/>
      <c r="L18" s="12"/>
      <c r="M18" s="17" t="str">
        <f t="shared" ca="1" si="0"/>
        <v/>
      </c>
    </row>
    <row r="19" spans="1:13">
      <c r="A19" s="16"/>
      <c r="B19" s="12"/>
      <c r="C19" s="12"/>
      <c r="D19" s="12"/>
      <c r="E19" s="12"/>
      <c r="F19" s="13"/>
      <c r="G19" s="13"/>
      <c r="H19" s="12"/>
      <c r="I19" s="14"/>
      <c r="J19" s="12"/>
      <c r="K19" s="12"/>
      <c r="L19" s="12"/>
      <c r="M19" s="17" t="str">
        <f t="shared" ca="1" si="0"/>
        <v/>
      </c>
    </row>
    <row r="20" spans="1:13">
      <c r="A20" s="16"/>
      <c r="B20" s="12"/>
      <c r="C20" s="12"/>
      <c r="D20" s="12"/>
      <c r="E20" s="12"/>
      <c r="F20" s="13"/>
      <c r="G20" s="13"/>
      <c r="H20" s="12"/>
      <c r="I20" s="14"/>
      <c r="J20" s="12"/>
      <c r="K20" s="12"/>
      <c r="L20" s="12"/>
      <c r="M20" s="17" t="str">
        <f t="shared" ca="1" si="0"/>
        <v/>
      </c>
    </row>
    <row r="21" spans="1:13">
      <c r="A21" s="16"/>
      <c r="B21" s="12"/>
      <c r="C21" s="12"/>
      <c r="D21" s="12"/>
      <c r="E21" s="12"/>
      <c r="F21" s="13"/>
      <c r="G21" s="13"/>
      <c r="H21" s="12"/>
      <c r="I21" s="14"/>
      <c r="J21" s="12"/>
      <c r="K21" s="12"/>
      <c r="L21" s="12"/>
      <c r="M21" s="17" t="str">
        <f t="shared" ca="1" si="0"/>
        <v/>
      </c>
    </row>
    <row r="22" spans="1:13">
      <c r="A22" s="16"/>
      <c r="B22" s="12"/>
      <c r="C22" s="12"/>
      <c r="D22" s="12"/>
      <c r="E22" s="12"/>
      <c r="F22" s="13"/>
      <c r="G22" s="13"/>
      <c r="H22" s="12"/>
      <c r="I22" s="14"/>
      <c r="J22" s="12"/>
      <c r="K22" s="12"/>
      <c r="L22" s="12"/>
      <c r="M22" s="17" t="str">
        <f t="shared" ca="1" si="0"/>
        <v/>
      </c>
    </row>
    <row r="23" spans="1:13">
      <c r="A23" s="16"/>
      <c r="B23" s="12"/>
      <c r="C23" s="12"/>
      <c r="D23" s="12"/>
      <c r="E23" s="12"/>
      <c r="F23" s="13"/>
      <c r="G23" s="13"/>
      <c r="H23" s="12"/>
      <c r="I23" s="14"/>
      <c r="J23" s="12"/>
      <c r="K23" s="12"/>
      <c r="L23" s="12"/>
      <c r="M23" s="17" t="str">
        <f t="shared" ca="1" si="0"/>
        <v/>
      </c>
    </row>
    <row r="24" spans="1:13">
      <c r="A24" s="16"/>
      <c r="B24" s="12"/>
      <c r="C24" s="12"/>
      <c r="D24" s="12"/>
      <c r="E24" s="12"/>
      <c r="F24" s="13"/>
      <c r="G24" s="13"/>
      <c r="H24" s="12"/>
      <c r="I24" s="14"/>
      <c r="J24" s="12"/>
      <c r="K24" s="12"/>
      <c r="L24" s="12"/>
      <c r="M24" s="17" t="str">
        <f t="shared" ca="1" si="0"/>
        <v/>
      </c>
    </row>
    <row r="25" spans="1:13">
      <c r="A25" s="16"/>
      <c r="B25" s="12"/>
      <c r="C25" s="12"/>
      <c r="D25" s="12"/>
      <c r="E25" s="12"/>
      <c r="F25" s="13"/>
      <c r="G25" s="13"/>
      <c r="H25" s="12"/>
      <c r="I25" s="14"/>
      <c r="J25" s="12"/>
      <c r="K25" s="12"/>
      <c r="L25" s="12"/>
      <c r="M25" s="17" t="str">
        <f t="shared" ca="1" si="0"/>
        <v/>
      </c>
    </row>
    <row r="26" spans="1:13">
      <c r="A26" s="16"/>
      <c r="B26" s="12"/>
      <c r="C26" s="12"/>
      <c r="D26" s="12"/>
      <c r="E26" s="12"/>
      <c r="F26" s="13"/>
      <c r="G26" s="13"/>
      <c r="H26" s="12"/>
      <c r="I26" s="14"/>
      <c r="J26" s="12"/>
      <c r="K26" s="12"/>
      <c r="L26" s="12"/>
      <c r="M26" s="17" t="str">
        <f t="shared" ca="1" si="0"/>
        <v/>
      </c>
    </row>
    <row r="27" spans="1:13">
      <c r="A27" s="16"/>
      <c r="B27" s="12"/>
      <c r="C27" s="12"/>
      <c r="D27" s="12"/>
      <c r="E27" s="12"/>
      <c r="F27" s="13"/>
      <c r="G27" s="13"/>
      <c r="H27" s="12"/>
      <c r="I27" s="14"/>
      <c r="J27" s="12"/>
      <c r="K27" s="12"/>
      <c r="L27" s="12"/>
      <c r="M27" s="17" t="str">
        <f t="shared" ca="1" si="0"/>
        <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ca="1" si="0"/>
        <v/>
      </c>
    </row>
    <row r="31" spans="1:13">
      <c r="A31" s="16"/>
      <c r="B31" s="12"/>
      <c r="C31" s="12"/>
      <c r="D31" s="12"/>
      <c r="E31" s="12"/>
      <c r="F31" s="13"/>
      <c r="G31" s="13"/>
      <c r="H31" s="12"/>
      <c r="I31" s="14"/>
      <c r="J31" s="12"/>
      <c r="K31" s="12"/>
      <c r="L31" s="12"/>
      <c r="M31" s="17" t="str">
        <f t="shared" ca="1" si="0"/>
        <v/>
      </c>
    </row>
    <row r="32" spans="1:13">
      <c r="A32" s="16"/>
      <c r="B32" s="12"/>
      <c r="C32" s="12"/>
      <c r="D32" s="12"/>
      <c r="E32" s="12"/>
      <c r="F32" s="13"/>
      <c r="G32" s="13"/>
      <c r="H32" s="12"/>
      <c r="I32" s="14"/>
      <c r="J32" s="12"/>
      <c r="K32" s="12"/>
      <c r="L32" s="12"/>
      <c r="M32" s="17" t="str">
        <f t="shared" ca="1" si="0"/>
        <v/>
      </c>
    </row>
    <row r="33" spans="1:13">
      <c r="A33" s="16"/>
      <c r="B33" s="12"/>
      <c r="C33" s="12"/>
      <c r="D33" s="12"/>
      <c r="E33" s="12"/>
      <c r="F33" s="13"/>
      <c r="G33" s="13"/>
      <c r="H33" s="12"/>
      <c r="I33" s="14"/>
      <c r="J33" s="12"/>
      <c r="K33" s="12"/>
      <c r="L33" s="12"/>
      <c r="M33" s="17" t="str">
        <f t="shared" ca="1" si="0"/>
        <v/>
      </c>
    </row>
    <row r="34" spans="1:13">
      <c r="A34" s="16"/>
      <c r="B34" s="12"/>
      <c r="C34" s="12"/>
      <c r="D34" s="12"/>
      <c r="E34" s="12"/>
      <c r="F34" s="13"/>
      <c r="G34" s="13"/>
      <c r="H34" s="12"/>
      <c r="I34" s="14"/>
      <c r="J34" s="12"/>
      <c r="K34" s="12"/>
      <c r="L34" s="12"/>
      <c r="M34" s="17" t="str">
        <f t="shared" ca="1" si="0"/>
        <v/>
      </c>
    </row>
    <row r="35" spans="1:13">
      <c r="A35" s="16"/>
      <c r="B35" s="12"/>
      <c r="C35" s="12"/>
      <c r="D35" s="12"/>
      <c r="E35" s="12"/>
      <c r="F35" s="13"/>
      <c r="G35" s="13"/>
      <c r="H35" s="12"/>
      <c r="I35" s="14"/>
      <c r="J35" s="12"/>
      <c r="K35" s="12"/>
      <c r="L35" s="12"/>
      <c r="M35" s="17" t="str">
        <f t="shared" ref="M35:M66" ca="1" si="2">IF(D35="","",IF(H35="Completed","Completed",IF(H35="Blocked","Blocked",IF(H35="Delayed","Delayed",IF(AND(G35&lt;&gt;"",G35&lt;TODAY(),H35&lt;&gt;"Completed"),"Overdue","On Track")))))</f>
        <v/>
      </c>
    </row>
    <row r="36" spans="1:13">
      <c r="A36" s="16"/>
      <c r="B36" s="12"/>
      <c r="C36" s="12"/>
      <c r="D36" s="12"/>
      <c r="E36" s="12"/>
      <c r="F36" s="13"/>
      <c r="G36" s="13"/>
      <c r="H36" s="12"/>
      <c r="I36" s="14"/>
      <c r="J36" s="12"/>
      <c r="K36" s="12"/>
      <c r="L36" s="12"/>
      <c r="M36" s="17" t="str">
        <f t="shared" ca="1" si="2"/>
        <v/>
      </c>
    </row>
    <row r="37" spans="1:13">
      <c r="A37" s="16"/>
      <c r="B37" s="12"/>
      <c r="C37" s="12"/>
      <c r="D37" s="12"/>
      <c r="E37" s="12"/>
      <c r="F37" s="13"/>
      <c r="G37" s="13"/>
      <c r="H37" s="12"/>
      <c r="I37" s="14"/>
      <c r="J37" s="12"/>
      <c r="K37" s="12"/>
      <c r="L37" s="12"/>
      <c r="M37" s="17" t="str">
        <f t="shared" ca="1" si="2"/>
        <v/>
      </c>
    </row>
    <row r="38" spans="1:13">
      <c r="A38" s="16"/>
      <c r="B38" s="12"/>
      <c r="C38" s="12"/>
      <c r="D38" s="12"/>
      <c r="E38" s="12"/>
      <c r="F38" s="13"/>
      <c r="G38" s="13"/>
      <c r="H38" s="12"/>
      <c r="I38" s="14"/>
      <c r="J38" s="12"/>
      <c r="K38" s="12"/>
      <c r="L38" s="12"/>
      <c r="M38" s="17" t="str">
        <f t="shared" ca="1" si="2"/>
        <v/>
      </c>
    </row>
    <row r="39" spans="1:13">
      <c r="A39" s="16"/>
      <c r="B39" s="12"/>
      <c r="C39" s="12"/>
      <c r="D39" s="12"/>
      <c r="E39" s="12"/>
      <c r="F39" s="13"/>
      <c r="G39" s="13"/>
      <c r="H39" s="12"/>
      <c r="I39" s="14"/>
      <c r="J39" s="12"/>
      <c r="K39" s="12"/>
      <c r="L39" s="12"/>
      <c r="M39" s="17" t="str">
        <f t="shared" ca="1" si="2"/>
        <v/>
      </c>
    </row>
    <row r="40" spans="1:13">
      <c r="A40" s="16"/>
      <c r="B40" s="12"/>
      <c r="C40" s="12"/>
      <c r="D40" s="12"/>
      <c r="E40" s="12"/>
      <c r="F40" s="13"/>
      <c r="G40" s="13"/>
      <c r="H40" s="12"/>
      <c r="I40" s="14"/>
      <c r="J40" s="12"/>
      <c r="K40" s="12"/>
      <c r="L40" s="12"/>
      <c r="M40" s="17" t="str">
        <f t="shared" ca="1" si="2"/>
        <v/>
      </c>
    </row>
    <row r="41" spans="1:13">
      <c r="A41" s="16"/>
      <c r="B41" s="12"/>
      <c r="C41" s="12"/>
      <c r="D41" s="12"/>
      <c r="E41" s="12"/>
      <c r="F41" s="13"/>
      <c r="G41" s="13"/>
      <c r="H41" s="12"/>
      <c r="I41" s="14"/>
      <c r="J41" s="12"/>
      <c r="K41" s="12"/>
      <c r="L41" s="12"/>
      <c r="M41" s="17" t="str">
        <f t="shared" ca="1" si="2"/>
        <v/>
      </c>
    </row>
    <row r="42" spans="1:13">
      <c r="A42" s="16"/>
      <c r="B42" s="12"/>
      <c r="C42" s="12"/>
      <c r="D42" s="12"/>
      <c r="E42" s="12"/>
      <c r="F42" s="13"/>
      <c r="G42" s="13"/>
      <c r="H42" s="12"/>
      <c r="I42" s="14"/>
      <c r="J42" s="12"/>
      <c r="K42" s="12"/>
      <c r="L42" s="12"/>
      <c r="M42" s="17" t="str">
        <f t="shared" ca="1" si="2"/>
        <v/>
      </c>
    </row>
    <row r="43" spans="1:13">
      <c r="A43" s="16"/>
      <c r="B43" s="12"/>
      <c r="C43" s="12"/>
      <c r="D43" s="12"/>
      <c r="E43" s="12"/>
      <c r="F43" s="13"/>
      <c r="G43" s="13"/>
      <c r="H43" s="12"/>
      <c r="I43" s="14"/>
      <c r="J43" s="12"/>
      <c r="K43" s="12"/>
      <c r="L43" s="12"/>
      <c r="M43" s="17" t="str">
        <f t="shared" ca="1" si="2"/>
        <v/>
      </c>
    </row>
    <row r="44" spans="1:13">
      <c r="A44" s="16"/>
      <c r="B44" s="12"/>
      <c r="C44" s="12"/>
      <c r="D44" s="12"/>
      <c r="E44" s="12"/>
      <c r="F44" s="13"/>
      <c r="G44" s="13"/>
      <c r="H44" s="12"/>
      <c r="I44" s="14"/>
      <c r="J44" s="12"/>
      <c r="K44" s="12"/>
      <c r="L44" s="12"/>
      <c r="M44" s="17" t="str">
        <f t="shared" ca="1" si="2"/>
        <v/>
      </c>
    </row>
    <row r="45" spans="1:13">
      <c r="A45" s="16"/>
      <c r="B45" s="12"/>
      <c r="C45" s="12"/>
      <c r="D45" s="12"/>
      <c r="E45" s="12"/>
      <c r="F45" s="13"/>
      <c r="G45" s="13"/>
      <c r="H45" s="12"/>
      <c r="I45" s="14"/>
      <c r="J45" s="12"/>
      <c r="K45" s="12"/>
      <c r="L45" s="12"/>
      <c r="M45" s="17" t="str">
        <f t="shared" ca="1" si="2"/>
        <v/>
      </c>
    </row>
    <row r="46" spans="1:13">
      <c r="A46" s="16"/>
      <c r="B46" s="12"/>
      <c r="C46" s="12"/>
      <c r="D46" s="12"/>
      <c r="E46" s="12"/>
      <c r="F46" s="13"/>
      <c r="G46" s="13"/>
      <c r="H46" s="12"/>
      <c r="I46" s="14"/>
      <c r="J46" s="12"/>
      <c r="K46" s="12"/>
      <c r="L46" s="12"/>
      <c r="M46" s="17" t="str">
        <f t="shared" ca="1" si="2"/>
        <v/>
      </c>
    </row>
    <row r="47" spans="1:13">
      <c r="A47" s="16"/>
      <c r="B47" s="12"/>
      <c r="C47" s="12"/>
      <c r="D47" s="12"/>
      <c r="E47" s="12"/>
      <c r="F47" s="13"/>
      <c r="G47" s="13"/>
      <c r="H47" s="12"/>
      <c r="I47" s="14"/>
      <c r="J47" s="12"/>
      <c r="K47" s="12"/>
      <c r="L47" s="12"/>
      <c r="M47" s="17" t="str">
        <f t="shared" ca="1" si="2"/>
        <v/>
      </c>
    </row>
    <row r="48" spans="1:13">
      <c r="A48" s="16"/>
      <c r="B48" s="12"/>
      <c r="C48" s="12"/>
      <c r="D48" s="12"/>
      <c r="E48" s="12"/>
      <c r="F48" s="13"/>
      <c r="G48" s="13"/>
      <c r="H48" s="12"/>
      <c r="I48" s="14"/>
      <c r="J48" s="12"/>
      <c r="K48" s="12"/>
      <c r="L48" s="12"/>
      <c r="M48" s="17" t="str">
        <f t="shared" ca="1" si="2"/>
        <v/>
      </c>
    </row>
    <row r="49" spans="1:13">
      <c r="A49" s="16"/>
      <c r="B49" s="12"/>
      <c r="C49" s="12"/>
      <c r="D49" s="12"/>
      <c r="E49" s="12"/>
      <c r="F49" s="13"/>
      <c r="G49" s="13"/>
      <c r="H49" s="12"/>
      <c r="I49" s="14"/>
      <c r="J49" s="12"/>
      <c r="K49" s="12"/>
      <c r="L49" s="12"/>
      <c r="M49" s="17" t="str">
        <f t="shared" ca="1" si="2"/>
        <v/>
      </c>
    </row>
    <row r="50" spans="1:13">
      <c r="A50" s="16"/>
      <c r="B50" s="12"/>
      <c r="C50" s="12"/>
      <c r="D50" s="12"/>
      <c r="E50" s="12"/>
      <c r="F50" s="13"/>
      <c r="G50" s="13"/>
      <c r="H50" s="12"/>
      <c r="I50" s="14"/>
      <c r="J50" s="12"/>
      <c r="K50" s="12"/>
      <c r="L50" s="12"/>
      <c r="M50" s="17" t="str">
        <f t="shared" ca="1" si="2"/>
        <v/>
      </c>
    </row>
    <row r="51" spans="1:13">
      <c r="A51" s="16"/>
      <c r="B51" s="12"/>
      <c r="C51" s="12"/>
      <c r="D51" s="12"/>
      <c r="E51" s="12"/>
      <c r="F51" s="13"/>
      <c r="G51" s="13"/>
      <c r="H51" s="12"/>
      <c r="I51" s="14"/>
      <c r="J51" s="12"/>
      <c r="K51" s="12"/>
      <c r="L51" s="12"/>
      <c r="M51" s="17" t="str">
        <f t="shared" ca="1" si="2"/>
        <v/>
      </c>
    </row>
    <row r="52" spans="1:13">
      <c r="A52" s="16"/>
      <c r="B52" s="12"/>
      <c r="C52" s="12"/>
      <c r="D52" s="12"/>
      <c r="E52" s="12"/>
      <c r="F52" s="13"/>
      <c r="G52" s="13"/>
      <c r="H52" s="12"/>
      <c r="I52" s="14"/>
      <c r="J52" s="12"/>
      <c r="K52" s="12"/>
      <c r="L52" s="12"/>
      <c r="M52" s="17" t="str">
        <f t="shared" ca="1" si="2"/>
        <v/>
      </c>
    </row>
    <row r="53" spans="1:13">
      <c r="A53" s="16"/>
      <c r="B53" s="12"/>
      <c r="C53" s="12"/>
      <c r="D53" s="12"/>
      <c r="E53" s="12"/>
      <c r="F53" s="13"/>
      <c r="G53" s="13"/>
      <c r="H53" s="12"/>
      <c r="I53" s="14"/>
      <c r="J53" s="12"/>
      <c r="K53" s="12"/>
      <c r="L53" s="12"/>
      <c r="M53" s="17" t="str">
        <f t="shared" ca="1" si="2"/>
        <v/>
      </c>
    </row>
    <row r="54" spans="1:13">
      <c r="A54" s="16"/>
      <c r="B54" s="12"/>
      <c r="C54" s="12"/>
      <c r="D54" s="12"/>
      <c r="E54" s="12"/>
      <c r="F54" s="13"/>
      <c r="G54" s="13"/>
      <c r="H54" s="12"/>
      <c r="I54" s="14"/>
      <c r="J54" s="12"/>
      <c r="K54" s="12"/>
      <c r="L54" s="12"/>
      <c r="M54" s="17" t="str">
        <f t="shared" ca="1" si="2"/>
        <v/>
      </c>
    </row>
    <row r="55" spans="1:13">
      <c r="A55" s="16"/>
      <c r="B55" s="12"/>
      <c r="C55" s="12"/>
      <c r="D55" s="12"/>
      <c r="E55" s="12"/>
      <c r="F55" s="13"/>
      <c r="G55" s="13"/>
      <c r="H55" s="12"/>
      <c r="I55" s="14"/>
      <c r="J55" s="12"/>
      <c r="K55" s="12"/>
      <c r="L55" s="12"/>
      <c r="M55" s="17" t="str">
        <f t="shared" ca="1" si="2"/>
        <v/>
      </c>
    </row>
    <row r="56" spans="1:13">
      <c r="A56" s="16"/>
      <c r="B56" s="12"/>
      <c r="C56" s="12"/>
      <c r="D56" s="12"/>
      <c r="E56" s="12"/>
      <c r="F56" s="13"/>
      <c r="G56" s="13"/>
      <c r="H56" s="12"/>
      <c r="I56" s="14"/>
      <c r="J56" s="12"/>
      <c r="K56" s="12"/>
      <c r="L56" s="12"/>
      <c r="M56" s="17" t="str">
        <f t="shared" ca="1" si="2"/>
        <v/>
      </c>
    </row>
    <row r="57" spans="1:13">
      <c r="A57" s="16"/>
      <c r="B57" s="12"/>
      <c r="C57" s="12"/>
      <c r="D57" s="12"/>
      <c r="E57" s="12"/>
      <c r="F57" s="13"/>
      <c r="G57" s="13"/>
      <c r="H57" s="12"/>
      <c r="I57" s="14"/>
      <c r="J57" s="12"/>
      <c r="K57" s="12"/>
      <c r="L57" s="12"/>
      <c r="M57" s="17" t="str">
        <f t="shared" ca="1" si="2"/>
        <v/>
      </c>
    </row>
    <row r="58" spans="1:13">
      <c r="A58" s="16"/>
      <c r="B58" s="12"/>
      <c r="C58" s="12"/>
      <c r="D58" s="12"/>
      <c r="E58" s="12"/>
      <c r="F58" s="13"/>
      <c r="G58" s="13"/>
      <c r="H58" s="12"/>
      <c r="I58" s="14"/>
      <c r="J58" s="12"/>
      <c r="K58" s="12"/>
      <c r="L58" s="12"/>
      <c r="M58" s="17" t="str">
        <f t="shared" ca="1" si="2"/>
        <v/>
      </c>
    </row>
    <row r="59" spans="1:13">
      <c r="A59" s="16"/>
      <c r="B59" s="12"/>
      <c r="C59" s="12"/>
      <c r="D59" s="12"/>
      <c r="E59" s="12"/>
      <c r="F59" s="13"/>
      <c r="G59" s="13"/>
      <c r="H59" s="12"/>
      <c r="I59" s="14"/>
      <c r="J59" s="12"/>
      <c r="K59" s="12"/>
      <c r="L59" s="12"/>
      <c r="M59" s="17" t="str">
        <f t="shared" ca="1" si="2"/>
        <v/>
      </c>
    </row>
    <row r="60" spans="1:13">
      <c r="A60" s="16"/>
      <c r="B60" s="12"/>
      <c r="C60" s="12"/>
      <c r="D60" s="12"/>
      <c r="E60" s="12"/>
      <c r="F60" s="13"/>
      <c r="G60" s="13"/>
      <c r="H60" s="12"/>
      <c r="I60" s="14"/>
      <c r="J60" s="12"/>
      <c r="K60" s="12"/>
      <c r="L60" s="12"/>
      <c r="M60" s="17" t="str">
        <f t="shared" ca="1" si="2"/>
        <v/>
      </c>
    </row>
    <row r="61" spans="1:13">
      <c r="A61" s="16"/>
      <c r="B61" s="12"/>
      <c r="C61" s="12"/>
      <c r="D61" s="12"/>
      <c r="E61" s="12"/>
      <c r="F61" s="13"/>
      <c r="G61" s="13"/>
      <c r="H61" s="12"/>
      <c r="I61" s="14"/>
      <c r="J61" s="12"/>
      <c r="K61" s="12"/>
      <c r="L61" s="12"/>
      <c r="M61" s="17" t="str">
        <f t="shared" ca="1" si="2"/>
        <v/>
      </c>
    </row>
    <row r="62" spans="1:13">
      <c r="A62" s="16"/>
      <c r="B62" s="12"/>
      <c r="C62" s="12"/>
      <c r="D62" s="12"/>
      <c r="E62" s="12"/>
      <c r="F62" s="13"/>
      <c r="G62" s="13"/>
      <c r="H62" s="12"/>
      <c r="I62" s="14"/>
      <c r="J62" s="12"/>
      <c r="K62" s="12"/>
      <c r="L62" s="12"/>
      <c r="M62" s="17" t="str">
        <f t="shared" ca="1" si="2"/>
        <v/>
      </c>
    </row>
    <row r="63" spans="1:13">
      <c r="A63" s="16"/>
      <c r="B63" s="12"/>
      <c r="C63" s="12"/>
      <c r="D63" s="12"/>
      <c r="E63" s="12"/>
      <c r="F63" s="13"/>
      <c r="G63" s="13"/>
      <c r="H63" s="12"/>
      <c r="I63" s="14"/>
      <c r="J63" s="12"/>
      <c r="K63" s="12"/>
      <c r="L63" s="12"/>
      <c r="M63" s="17" t="str">
        <f t="shared" ca="1" si="2"/>
        <v/>
      </c>
    </row>
    <row r="64" spans="1:13">
      <c r="A64" s="16"/>
      <c r="B64" s="12"/>
      <c r="C64" s="12"/>
      <c r="D64" s="12"/>
      <c r="E64" s="12"/>
      <c r="F64" s="13"/>
      <c r="G64" s="13"/>
      <c r="H64" s="12"/>
      <c r="I64" s="14"/>
      <c r="J64" s="12"/>
      <c r="K64" s="12"/>
      <c r="L64" s="12"/>
      <c r="M64" s="17" t="str">
        <f t="shared" ca="1" si="2"/>
        <v/>
      </c>
    </row>
    <row r="65" spans="1:13">
      <c r="A65" s="16"/>
      <c r="B65" s="12"/>
      <c r="C65" s="12"/>
      <c r="D65" s="12"/>
      <c r="E65" s="12"/>
      <c r="F65" s="13"/>
      <c r="G65" s="13"/>
      <c r="H65" s="12"/>
      <c r="I65" s="14"/>
      <c r="J65" s="12"/>
      <c r="K65" s="12"/>
      <c r="L65" s="12"/>
      <c r="M65" s="17" t="str">
        <f t="shared" ca="1" si="2"/>
        <v/>
      </c>
    </row>
    <row r="66" spans="1:13">
      <c r="A66" s="16"/>
      <c r="B66" s="12"/>
      <c r="C66" s="12"/>
      <c r="D66" s="12"/>
      <c r="E66" s="12"/>
      <c r="F66" s="13"/>
      <c r="G66" s="13"/>
      <c r="H66" s="12"/>
      <c r="I66" s="14"/>
      <c r="J66" s="12"/>
      <c r="K66" s="12"/>
      <c r="L66" s="12"/>
      <c r="M66" s="17" t="str">
        <f t="shared" ca="1" si="2"/>
        <v/>
      </c>
    </row>
    <row r="67" spans="1:13">
      <c r="A67" s="16"/>
      <c r="B67" s="12"/>
      <c r="C67" s="12"/>
      <c r="D67" s="12"/>
      <c r="E67" s="12"/>
      <c r="F67" s="13"/>
      <c r="G67" s="13"/>
      <c r="H67" s="12"/>
      <c r="I67" s="14"/>
      <c r="J67" s="12"/>
      <c r="K67" s="12"/>
      <c r="L67" s="12"/>
      <c r="M67" s="17" t="str">
        <f t="shared" ref="M67:M101" ca="1" si="3">IF(D67="","",IF(H67="Completed","Completed",IF(H67="Blocked","Blocked",IF(H67="Delayed","Delayed",IF(AND(G67&lt;&gt;"",G67&lt;TODAY(),H67&lt;&gt;"Completed"),"Overdue","On Track")))))</f>
        <v/>
      </c>
    </row>
    <row r="68" spans="1:13">
      <c r="A68" s="16"/>
      <c r="B68" s="12"/>
      <c r="C68" s="12"/>
      <c r="D68" s="12"/>
      <c r="E68" s="12"/>
      <c r="F68" s="13"/>
      <c r="G68" s="13"/>
      <c r="H68" s="12"/>
      <c r="I68" s="14"/>
      <c r="J68" s="12"/>
      <c r="K68" s="12"/>
      <c r="L68" s="12"/>
      <c r="M68" s="17" t="str">
        <f t="shared" ca="1" si="3"/>
        <v/>
      </c>
    </row>
    <row r="69" spans="1:13">
      <c r="A69" s="16"/>
      <c r="B69" s="12"/>
      <c r="C69" s="12"/>
      <c r="D69" s="12"/>
      <c r="E69" s="12"/>
      <c r="F69" s="13"/>
      <c r="G69" s="13"/>
      <c r="H69" s="12"/>
      <c r="I69" s="14"/>
      <c r="J69" s="12"/>
      <c r="K69" s="12"/>
      <c r="L69" s="12"/>
      <c r="M69" s="17" t="str">
        <f t="shared" ca="1" si="3"/>
        <v/>
      </c>
    </row>
    <row r="70" spans="1:13">
      <c r="A70" s="16"/>
      <c r="B70" s="12"/>
      <c r="C70" s="12"/>
      <c r="D70" s="12"/>
      <c r="E70" s="12"/>
      <c r="F70" s="13"/>
      <c r="G70" s="13"/>
      <c r="H70" s="12"/>
      <c r="I70" s="14"/>
      <c r="J70" s="12"/>
      <c r="K70" s="12"/>
      <c r="L70" s="12"/>
      <c r="M70" s="17" t="str">
        <f t="shared" ca="1" si="3"/>
        <v/>
      </c>
    </row>
    <row r="71" spans="1:13">
      <c r="A71" s="16"/>
      <c r="B71" s="12"/>
      <c r="C71" s="12"/>
      <c r="D71" s="12"/>
      <c r="E71" s="12"/>
      <c r="F71" s="13"/>
      <c r="G71" s="13"/>
      <c r="H71" s="12"/>
      <c r="I71" s="14"/>
      <c r="J71" s="12"/>
      <c r="K71" s="12"/>
      <c r="L71" s="12"/>
      <c r="M71" s="17" t="str">
        <f t="shared" ca="1" si="3"/>
        <v/>
      </c>
    </row>
    <row r="72" spans="1:13">
      <c r="A72" s="16"/>
      <c r="B72" s="12"/>
      <c r="C72" s="12"/>
      <c r="D72" s="12"/>
      <c r="E72" s="12"/>
      <c r="F72" s="13"/>
      <c r="G72" s="13"/>
      <c r="H72" s="12"/>
      <c r="I72" s="14"/>
      <c r="J72" s="12"/>
      <c r="K72" s="12"/>
      <c r="L72" s="12"/>
      <c r="M72" s="17" t="str">
        <f t="shared" ca="1" si="3"/>
        <v/>
      </c>
    </row>
    <row r="73" spans="1:13">
      <c r="A73" s="16"/>
      <c r="B73" s="12"/>
      <c r="C73" s="12"/>
      <c r="D73" s="12"/>
      <c r="E73" s="12"/>
      <c r="F73" s="13"/>
      <c r="G73" s="13"/>
      <c r="H73" s="12"/>
      <c r="I73" s="14"/>
      <c r="J73" s="12"/>
      <c r="K73" s="12"/>
      <c r="L73" s="12"/>
      <c r="M73" s="17" t="str">
        <f t="shared" ca="1" si="3"/>
        <v/>
      </c>
    </row>
    <row r="74" spans="1:13">
      <c r="A74" s="16"/>
      <c r="B74" s="12"/>
      <c r="C74" s="12"/>
      <c r="D74" s="12"/>
      <c r="E74" s="12"/>
      <c r="F74" s="13"/>
      <c r="G74" s="13"/>
      <c r="H74" s="12"/>
      <c r="I74" s="14"/>
      <c r="J74" s="12"/>
      <c r="K74" s="12"/>
      <c r="L74" s="12"/>
      <c r="M74" s="17" t="str">
        <f t="shared" ca="1" si="3"/>
        <v/>
      </c>
    </row>
    <row r="75" spans="1:13">
      <c r="A75" s="16"/>
      <c r="B75" s="12"/>
      <c r="C75" s="12"/>
      <c r="D75" s="12"/>
      <c r="E75" s="12"/>
      <c r="F75" s="13"/>
      <c r="G75" s="13"/>
      <c r="H75" s="12"/>
      <c r="I75" s="14"/>
      <c r="J75" s="12"/>
      <c r="K75" s="12"/>
      <c r="L75" s="12"/>
      <c r="M75" s="17" t="str">
        <f t="shared" ca="1" si="3"/>
        <v/>
      </c>
    </row>
    <row r="76" spans="1:13">
      <c r="A76" s="16"/>
      <c r="B76" s="12"/>
      <c r="C76" s="12"/>
      <c r="D76" s="12"/>
      <c r="E76" s="12"/>
      <c r="F76" s="13"/>
      <c r="G76" s="13"/>
      <c r="H76" s="12"/>
      <c r="I76" s="14"/>
      <c r="J76" s="12"/>
      <c r="K76" s="12"/>
      <c r="L76" s="12"/>
      <c r="M76" s="17" t="str">
        <f t="shared" ca="1" si="3"/>
        <v/>
      </c>
    </row>
    <row r="77" spans="1:13">
      <c r="A77" s="16"/>
      <c r="B77" s="12"/>
      <c r="C77" s="12"/>
      <c r="D77" s="12"/>
      <c r="E77" s="12"/>
      <c r="F77" s="13"/>
      <c r="G77" s="13"/>
      <c r="H77" s="12"/>
      <c r="I77" s="14"/>
      <c r="J77" s="12"/>
      <c r="K77" s="12"/>
      <c r="L77" s="12"/>
      <c r="M77" s="17" t="str">
        <f t="shared" ca="1" si="3"/>
        <v/>
      </c>
    </row>
    <row r="78" spans="1:13">
      <c r="A78" s="16"/>
      <c r="B78" s="12"/>
      <c r="C78" s="12"/>
      <c r="D78" s="12"/>
      <c r="E78" s="12"/>
      <c r="F78" s="13"/>
      <c r="G78" s="13"/>
      <c r="H78" s="12"/>
      <c r="I78" s="14"/>
      <c r="J78" s="12"/>
      <c r="K78" s="12"/>
      <c r="L78" s="12"/>
      <c r="M78" s="17" t="str">
        <f t="shared" ca="1" si="3"/>
        <v/>
      </c>
    </row>
    <row r="79" spans="1:13">
      <c r="A79" s="16"/>
      <c r="B79" s="12"/>
      <c r="C79" s="12"/>
      <c r="D79" s="12"/>
      <c r="E79" s="12"/>
      <c r="F79" s="13"/>
      <c r="G79" s="13"/>
      <c r="H79" s="12"/>
      <c r="I79" s="14"/>
      <c r="J79" s="12"/>
      <c r="K79" s="12"/>
      <c r="L79" s="12"/>
      <c r="M79" s="17" t="str">
        <f t="shared" ca="1" si="3"/>
        <v/>
      </c>
    </row>
    <row r="80" spans="1:13">
      <c r="A80" s="16"/>
      <c r="B80" s="12"/>
      <c r="C80" s="12"/>
      <c r="D80" s="12"/>
      <c r="E80" s="12"/>
      <c r="F80" s="13"/>
      <c r="G80" s="13"/>
      <c r="H80" s="12"/>
      <c r="I80" s="14"/>
      <c r="J80" s="12"/>
      <c r="K80" s="12"/>
      <c r="L80" s="12"/>
      <c r="M80" s="17" t="str">
        <f t="shared" ca="1" si="3"/>
        <v/>
      </c>
    </row>
    <row r="81" spans="1:13">
      <c r="A81" s="16"/>
      <c r="B81" s="12"/>
      <c r="C81" s="12"/>
      <c r="D81" s="12"/>
      <c r="E81" s="12"/>
      <c r="F81" s="13"/>
      <c r="G81" s="13"/>
      <c r="H81" s="12"/>
      <c r="I81" s="14"/>
      <c r="J81" s="12"/>
      <c r="K81" s="12"/>
      <c r="L81" s="12"/>
      <c r="M81" s="17" t="str">
        <f t="shared" ca="1" si="3"/>
        <v/>
      </c>
    </row>
    <row r="82" spans="1:13">
      <c r="A82" s="16"/>
      <c r="B82" s="12"/>
      <c r="C82" s="12"/>
      <c r="D82" s="12"/>
      <c r="E82" s="12"/>
      <c r="F82" s="13"/>
      <c r="G82" s="13"/>
      <c r="H82" s="12"/>
      <c r="I82" s="14"/>
      <c r="J82" s="12"/>
      <c r="K82" s="12"/>
      <c r="L82" s="12"/>
      <c r="M82" s="17" t="str">
        <f t="shared" ca="1" si="3"/>
        <v/>
      </c>
    </row>
    <row r="83" spans="1:13">
      <c r="A83" s="16"/>
      <c r="B83" s="12"/>
      <c r="C83" s="12"/>
      <c r="D83" s="12"/>
      <c r="E83" s="12"/>
      <c r="F83" s="13"/>
      <c r="G83" s="13"/>
      <c r="H83" s="12"/>
      <c r="I83" s="14"/>
      <c r="J83" s="12"/>
      <c r="K83" s="12"/>
      <c r="L83" s="12"/>
      <c r="M83" s="17" t="str">
        <f t="shared" ca="1" si="3"/>
        <v/>
      </c>
    </row>
    <row r="84" spans="1:13">
      <c r="A84" s="16"/>
      <c r="B84" s="12"/>
      <c r="C84" s="12"/>
      <c r="D84" s="12"/>
      <c r="E84" s="12"/>
      <c r="F84" s="13"/>
      <c r="G84" s="13"/>
      <c r="H84" s="12"/>
      <c r="I84" s="14"/>
      <c r="J84" s="12"/>
      <c r="K84" s="12"/>
      <c r="L84" s="12"/>
      <c r="M84" s="17" t="str">
        <f t="shared" ca="1" si="3"/>
        <v/>
      </c>
    </row>
    <row r="85" spans="1:13">
      <c r="A85" s="16"/>
      <c r="B85" s="12"/>
      <c r="C85" s="12"/>
      <c r="D85" s="12"/>
      <c r="E85" s="12"/>
      <c r="F85" s="13"/>
      <c r="G85" s="13"/>
      <c r="H85" s="12"/>
      <c r="I85" s="14"/>
      <c r="J85" s="12"/>
      <c r="K85" s="12"/>
      <c r="L85" s="12"/>
      <c r="M85" s="17" t="str">
        <f t="shared" ca="1" si="3"/>
        <v/>
      </c>
    </row>
    <row r="86" spans="1:13">
      <c r="A86" s="16"/>
      <c r="B86" s="12"/>
      <c r="C86" s="12"/>
      <c r="D86" s="12"/>
      <c r="E86" s="12"/>
      <c r="F86" s="13"/>
      <c r="G86" s="13"/>
      <c r="H86" s="12"/>
      <c r="I86" s="14"/>
      <c r="J86" s="12"/>
      <c r="K86" s="12"/>
      <c r="L86" s="12"/>
      <c r="M86" s="17" t="str">
        <f t="shared" ca="1" si="3"/>
        <v/>
      </c>
    </row>
    <row r="87" spans="1:13">
      <c r="A87" s="16"/>
      <c r="B87" s="12"/>
      <c r="C87" s="12"/>
      <c r="D87" s="12"/>
      <c r="E87" s="12"/>
      <c r="F87" s="13"/>
      <c r="G87" s="13"/>
      <c r="H87" s="12"/>
      <c r="I87" s="14"/>
      <c r="J87" s="12"/>
      <c r="K87" s="12"/>
      <c r="L87" s="12"/>
      <c r="M87" s="17" t="str">
        <f t="shared" ca="1" si="3"/>
        <v/>
      </c>
    </row>
    <row r="88" spans="1:13">
      <c r="A88" s="16"/>
      <c r="B88" s="12"/>
      <c r="C88" s="12"/>
      <c r="D88" s="12"/>
      <c r="E88" s="12"/>
      <c r="F88" s="13"/>
      <c r="G88" s="13"/>
      <c r="H88" s="12"/>
      <c r="I88" s="14"/>
      <c r="J88" s="12"/>
      <c r="K88" s="12"/>
      <c r="L88" s="12"/>
      <c r="M88" s="17" t="str">
        <f t="shared" ca="1" si="3"/>
        <v/>
      </c>
    </row>
    <row r="89" spans="1:13">
      <c r="A89" s="16"/>
      <c r="B89" s="12"/>
      <c r="C89" s="12"/>
      <c r="D89" s="12"/>
      <c r="E89" s="12"/>
      <c r="F89" s="13"/>
      <c r="G89" s="13"/>
      <c r="H89" s="12"/>
      <c r="I89" s="14"/>
      <c r="J89" s="12"/>
      <c r="K89" s="12"/>
      <c r="L89" s="12"/>
      <c r="M89" s="17" t="str">
        <f t="shared" ca="1" si="3"/>
        <v/>
      </c>
    </row>
    <row r="90" spans="1:13">
      <c r="A90" s="16"/>
      <c r="B90" s="12"/>
      <c r="C90" s="12"/>
      <c r="D90" s="12"/>
      <c r="E90" s="12"/>
      <c r="F90" s="13"/>
      <c r="G90" s="13"/>
      <c r="H90" s="12"/>
      <c r="I90" s="14"/>
      <c r="J90" s="12"/>
      <c r="K90" s="12"/>
      <c r="L90" s="12"/>
      <c r="M90" s="17" t="str">
        <f t="shared" ca="1" si="3"/>
        <v/>
      </c>
    </row>
    <row r="91" spans="1:13">
      <c r="A91" s="16"/>
      <c r="B91" s="12"/>
      <c r="C91" s="12"/>
      <c r="D91" s="12"/>
      <c r="E91" s="12"/>
      <c r="F91" s="13"/>
      <c r="G91" s="13"/>
      <c r="H91" s="12"/>
      <c r="I91" s="14"/>
      <c r="J91" s="12"/>
      <c r="K91" s="12"/>
      <c r="L91" s="12"/>
      <c r="M91" s="17" t="str">
        <f t="shared" ca="1" si="3"/>
        <v/>
      </c>
    </row>
    <row r="92" spans="1:13">
      <c r="A92" s="16"/>
      <c r="B92" s="12"/>
      <c r="C92" s="12"/>
      <c r="D92" s="12"/>
      <c r="E92" s="12"/>
      <c r="F92" s="13"/>
      <c r="G92" s="13"/>
      <c r="H92" s="12"/>
      <c r="I92" s="14"/>
      <c r="J92" s="12"/>
      <c r="K92" s="12"/>
      <c r="L92" s="12"/>
      <c r="M92" s="17" t="str">
        <f t="shared" ca="1" si="3"/>
        <v/>
      </c>
    </row>
    <row r="93" spans="1:13">
      <c r="A93" s="16"/>
      <c r="B93" s="12"/>
      <c r="C93" s="12"/>
      <c r="D93" s="12"/>
      <c r="E93" s="12"/>
      <c r="F93" s="13"/>
      <c r="G93" s="13"/>
      <c r="H93" s="12"/>
      <c r="I93" s="14"/>
      <c r="J93" s="12"/>
      <c r="K93" s="12"/>
      <c r="L93" s="12"/>
      <c r="M93" s="17" t="str">
        <f t="shared" ca="1" si="3"/>
        <v/>
      </c>
    </row>
    <row r="94" spans="1:13">
      <c r="A94" s="16"/>
      <c r="B94" s="12"/>
      <c r="C94" s="12"/>
      <c r="D94" s="12"/>
      <c r="E94" s="12"/>
      <c r="F94" s="13"/>
      <c r="G94" s="13"/>
      <c r="H94" s="12"/>
      <c r="I94" s="14"/>
      <c r="J94" s="12"/>
      <c r="K94" s="12"/>
      <c r="L94" s="12"/>
      <c r="M94" s="17" t="str">
        <f t="shared" ca="1" si="3"/>
        <v/>
      </c>
    </row>
    <row r="95" spans="1:13">
      <c r="A95" s="16"/>
      <c r="B95" s="12"/>
      <c r="C95" s="12"/>
      <c r="D95" s="12"/>
      <c r="E95" s="12"/>
      <c r="F95" s="13"/>
      <c r="G95" s="13"/>
      <c r="H95" s="12"/>
      <c r="I95" s="14"/>
      <c r="J95" s="12"/>
      <c r="K95" s="12"/>
      <c r="L95" s="12"/>
      <c r="M95" s="17" t="str">
        <f t="shared" ca="1" si="3"/>
        <v/>
      </c>
    </row>
    <row r="96" spans="1:13">
      <c r="A96" s="16"/>
      <c r="B96" s="12"/>
      <c r="C96" s="12"/>
      <c r="D96" s="12"/>
      <c r="E96" s="12"/>
      <c r="F96" s="13"/>
      <c r="G96" s="13"/>
      <c r="H96" s="12"/>
      <c r="I96" s="14"/>
      <c r="J96" s="12"/>
      <c r="K96" s="12"/>
      <c r="L96" s="12"/>
      <c r="M96" s="17" t="str">
        <f t="shared" ca="1" si="3"/>
        <v/>
      </c>
    </row>
    <row r="97" spans="1:13">
      <c r="A97" s="16"/>
      <c r="B97" s="12"/>
      <c r="C97" s="12"/>
      <c r="D97" s="12"/>
      <c r="E97" s="12"/>
      <c r="F97" s="13"/>
      <c r="G97" s="13"/>
      <c r="H97" s="12"/>
      <c r="I97" s="14"/>
      <c r="J97" s="12"/>
      <c r="K97" s="12"/>
      <c r="L97" s="12"/>
      <c r="M97" s="17" t="str">
        <f t="shared" ca="1" si="3"/>
        <v/>
      </c>
    </row>
    <row r="98" spans="1:13">
      <c r="A98" s="16"/>
      <c r="B98" s="12"/>
      <c r="C98" s="12"/>
      <c r="D98" s="12"/>
      <c r="E98" s="12"/>
      <c r="F98" s="13"/>
      <c r="G98" s="13"/>
      <c r="H98" s="12"/>
      <c r="I98" s="14"/>
      <c r="J98" s="12"/>
      <c r="K98" s="12"/>
      <c r="L98" s="12"/>
      <c r="M98" s="17" t="str">
        <f t="shared" ca="1" si="3"/>
        <v/>
      </c>
    </row>
    <row r="99" spans="1:13">
      <c r="A99" s="16"/>
      <c r="B99" s="12"/>
      <c r="C99" s="12"/>
      <c r="D99" s="12"/>
      <c r="E99" s="12"/>
      <c r="F99" s="13"/>
      <c r="G99" s="13"/>
      <c r="H99" s="12"/>
      <c r="I99" s="14"/>
      <c r="J99" s="12"/>
      <c r="K99" s="12"/>
      <c r="L99" s="12"/>
      <c r="M99" s="17" t="str">
        <f t="shared" ca="1" si="3"/>
        <v/>
      </c>
    </row>
    <row r="100" spans="1:13">
      <c r="A100" s="16"/>
      <c r="B100" s="12"/>
      <c r="C100" s="12"/>
      <c r="D100" s="12"/>
      <c r="E100" s="12"/>
      <c r="F100" s="13"/>
      <c r="G100" s="13"/>
      <c r="H100" s="12"/>
      <c r="I100" s="14"/>
      <c r="J100" s="12"/>
      <c r="K100" s="12"/>
      <c r="L100" s="12"/>
      <c r="M100" s="17" t="str">
        <f t="shared" ca="1" si="3"/>
        <v/>
      </c>
    </row>
    <row r="101" spans="1:13">
      <c r="A101" s="18"/>
      <c r="B101" s="19"/>
      <c r="C101" s="19"/>
      <c r="D101" s="19"/>
      <c r="E101" s="19"/>
      <c r="F101" s="20"/>
      <c r="G101" s="20"/>
      <c r="H101" s="19"/>
      <c r="I101" s="21"/>
      <c r="J101" s="19"/>
      <c r="K101" s="19"/>
      <c r="L101" s="19"/>
      <c r="M101" s="22" t="str">
        <f t="shared" ca="1" si="3"/>
        <v/>
      </c>
    </row>
  </sheetData>
  <mergeCells count="1">
    <mergeCell ref="A1:M1"/>
  </mergeCells>
  <phoneticPr fontId="6" type="noConversion"/>
  <conditionalFormatting sqref="H3:H101">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I3:I101">
    <cfRule type="dataBar" priority="6">
      <dataBar>
        <cfvo type="min"/>
        <cfvo type="max"/>
        <color rgb="FF1F5A94"/>
      </dataBar>
    </cfRule>
    <cfRule type="dataBar" priority="7">
      <dataBar>
        <cfvo type="min"/>
        <cfvo type="max"/>
        <color rgb="FF1F5A94"/>
      </dataBar>
      <extLst>
        <ext xmlns:x14="http://schemas.microsoft.com/office/spreadsheetml/2009/9/main" uri="{B025F937-C7B1-47D3-B67F-A62EFF666E3E}">
          <x14:id>{47F2417F-5A51-25CB-3D69-48DA80333B65}</x14:id>
        </ext>
      </extLst>
    </cfRule>
  </conditionalFormatting>
  <conditionalFormatting sqref="M3:M101">
    <cfRule type="expression" dxfId="7" priority="5">
      <formula>M3="Overdue"</formula>
    </cfRule>
  </conditionalFormatting>
  <dataValidations count="4">
    <dataValidation type="list" sqref="B3:B101" xr:uid="{00000000-0002-0000-0200-000000000000}">
      <formula1>"Unit 1 / Phase 1,Phase 2,Phase 3,Final"</formula1>
    </dataValidation>
    <dataValidation type="list" sqref="H3:H101" xr:uid="{00000000-0002-0000-0200-000001000000}">
      <formula1>"Not Started,In Progress,Completed,Delayed,Blocked"</formula1>
    </dataValidation>
    <dataValidation type="list" sqref="I3:I101" xr:uid="{00000000-0002-0000-0200-000002000000}">
      <formula1>"0,25,50,75,100"</formula1>
    </dataValidation>
    <dataValidation type="list" sqref="K3:K101" xr:uid="{00000000-0002-0000-0200-000003000000}">
      <formula1>"Yes,No"</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workbookViewId="0">
      <selection activeCell="E7" sqref="E7"/>
    </sheetView>
  </sheetViews>
  <sheetFormatPr defaultRowHeight="13.8"/>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30" customHeight="1">
      <c r="A1" s="30" t="s">
        <v>81</v>
      </c>
      <c r="B1" s="30"/>
      <c r="C1" s="30"/>
      <c r="D1" s="30"/>
      <c r="E1" s="30"/>
      <c r="F1" s="30"/>
      <c r="G1" s="30"/>
      <c r="H1" s="30"/>
      <c r="I1" s="30"/>
      <c r="J1" s="30"/>
      <c r="K1" s="30"/>
      <c r="L1" s="30"/>
    </row>
    <row r="2" spans="1:12" ht="27.6">
      <c r="A2" s="1" t="s">
        <v>82</v>
      </c>
      <c r="B2" s="15" t="s">
        <v>83</v>
      </c>
      <c r="C2" s="15" t="s">
        <v>69</v>
      </c>
      <c r="D2" s="15" t="s">
        <v>70</v>
      </c>
      <c r="E2" s="15" t="s">
        <v>84</v>
      </c>
      <c r="F2" s="15" t="s">
        <v>85</v>
      </c>
      <c r="G2" s="15" t="s">
        <v>86</v>
      </c>
      <c r="H2" s="15" t="s">
        <v>87</v>
      </c>
      <c r="I2" s="15" t="s">
        <v>77</v>
      </c>
      <c r="J2" s="15" t="s">
        <v>78</v>
      </c>
      <c r="K2" s="15" t="s">
        <v>88</v>
      </c>
      <c r="L2" s="2" t="s">
        <v>89</v>
      </c>
    </row>
    <row r="3" spans="1:12" ht="58.5" customHeight="1">
      <c r="A3" s="16" t="s">
        <v>177</v>
      </c>
      <c r="B3" s="12">
        <v>224078106</v>
      </c>
      <c r="C3" s="12" t="s">
        <v>36</v>
      </c>
      <c r="D3" s="12" t="s">
        <v>204</v>
      </c>
      <c r="E3" s="12" t="s">
        <v>214</v>
      </c>
      <c r="F3" s="12" t="s">
        <v>205</v>
      </c>
      <c r="G3" s="13">
        <v>46300</v>
      </c>
      <c r="H3" s="23">
        <v>72</v>
      </c>
      <c r="I3" s="29" t="s">
        <v>226</v>
      </c>
      <c r="J3" s="12" t="s">
        <v>160</v>
      </c>
      <c r="K3" s="13" t="s">
        <v>206</v>
      </c>
      <c r="L3" s="17"/>
    </row>
    <row r="4" spans="1:12" ht="42.75" customHeight="1">
      <c r="A4" s="16" t="s">
        <v>171</v>
      </c>
      <c r="B4" s="12">
        <v>221027701</v>
      </c>
      <c r="C4" s="12" t="s">
        <v>36</v>
      </c>
      <c r="D4" s="12" t="s">
        <v>223</v>
      </c>
      <c r="E4" s="12" t="s">
        <v>217</v>
      </c>
      <c r="F4" s="12" t="s">
        <v>205</v>
      </c>
      <c r="G4" s="13">
        <v>46308</v>
      </c>
      <c r="H4" s="23">
        <v>144</v>
      </c>
      <c r="I4" s="29" t="s">
        <v>227</v>
      </c>
      <c r="J4" s="12" t="s">
        <v>160</v>
      </c>
      <c r="K4" s="13" t="s">
        <v>198</v>
      </c>
      <c r="L4" s="17"/>
    </row>
    <row r="5" spans="1:12" ht="41.4">
      <c r="A5" s="16" t="s">
        <v>207</v>
      </c>
      <c r="B5" s="12">
        <v>223081118</v>
      </c>
      <c r="C5" s="12" t="s">
        <v>36</v>
      </c>
      <c r="D5" s="12" t="s">
        <v>223</v>
      </c>
      <c r="E5" s="12" t="s">
        <v>213</v>
      </c>
      <c r="F5" s="12" t="s">
        <v>205</v>
      </c>
      <c r="G5" s="13">
        <v>46308</v>
      </c>
      <c r="H5" s="23">
        <v>144</v>
      </c>
      <c r="I5" s="29" t="s">
        <v>227</v>
      </c>
      <c r="J5" s="12" t="s">
        <v>160</v>
      </c>
      <c r="K5" s="13" t="s">
        <v>198</v>
      </c>
      <c r="L5" s="17"/>
    </row>
    <row r="6" spans="1:12" ht="55.2">
      <c r="A6" s="16" t="s">
        <v>208</v>
      </c>
      <c r="B6" s="12">
        <v>221032310</v>
      </c>
      <c r="C6" s="12" t="s">
        <v>36</v>
      </c>
      <c r="D6" s="12" t="s">
        <v>223</v>
      </c>
      <c r="E6" s="12" t="s">
        <v>218</v>
      </c>
      <c r="F6" s="12" t="s">
        <v>205</v>
      </c>
      <c r="G6" s="13">
        <v>46308</v>
      </c>
      <c r="H6" s="23">
        <v>144</v>
      </c>
      <c r="I6" s="29" t="s">
        <v>227</v>
      </c>
      <c r="J6" s="12" t="s">
        <v>160</v>
      </c>
      <c r="K6" s="13" t="s">
        <v>198</v>
      </c>
      <c r="L6" s="17"/>
    </row>
    <row r="7" spans="1:12" ht="41.4">
      <c r="A7" s="16" t="s">
        <v>177</v>
      </c>
      <c r="B7" s="12">
        <v>224078106</v>
      </c>
      <c r="C7" s="12" t="s">
        <v>36</v>
      </c>
      <c r="D7" s="12" t="s">
        <v>224</v>
      </c>
      <c r="E7" s="12" t="s">
        <v>229</v>
      </c>
      <c r="F7" s="12" t="s">
        <v>205</v>
      </c>
      <c r="G7" s="13">
        <v>46308</v>
      </c>
      <c r="H7" s="23">
        <v>144</v>
      </c>
      <c r="I7" s="29" t="s">
        <v>228</v>
      </c>
      <c r="J7" s="12" t="s">
        <v>160</v>
      </c>
      <c r="K7" s="13" t="s">
        <v>198</v>
      </c>
      <c r="L7" s="17"/>
    </row>
    <row r="8" spans="1:12" ht="41.4">
      <c r="A8" s="16" t="s">
        <v>209</v>
      </c>
      <c r="B8" s="12">
        <v>221021198</v>
      </c>
      <c r="C8" s="12" t="s">
        <v>36</v>
      </c>
      <c r="D8" s="12" t="s">
        <v>225</v>
      </c>
      <c r="E8" s="12" t="s">
        <v>219</v>
      </c>
      <c r="F8" s="12" t="s">
        <v>205</v>
      </c>
      <c r="G8" s="13">
        <v>46308</v>
      </c>
      <c r="H8" s="23">
        <v>144</v>
      </c>
      <c r="I8" s="29" t="s">
        <v>228</v>
      </c>
      <c r="J8" s="12" t="s">
        <v>160</v>
      </c>
      <c r="K8" s="13" t="s">
        <v>198</v>
      </c>
      <c r="L8" s="17"/>
    </row>
    <row r="9" spans="1:12" ht="41.4">
      <c r="A9" s="16" t="s">
        <v>210</v>
      </c>
      <c r="B9" s="12">
        <v>220049798</v>
      </c>
      <c r="C9" s="12" t="s">
        <v>36</v>
      </c>
      <c r="D9" s="12" t="s">
        <v>224</v>
      </c>
      <c r="E9" s="12" t="s">
        <v>220</v>
      </c>
      <c r="F9" s="12" t="s">
        <v>205</v>
      </c>
      <c r="G9" s="13">
        <v>46308</v>
      </c>
      <c r="H9" s="23">
        <v>144</v>
      </c>
      <c r="I9" s="29" t="s">
        <v>228</v>
      </c>
      <c r="J9" s="12" t="s">
        <v>160</v>
      </c>
      <c r="K9" s="13" t="s">
        <v>198</v>
      </c>
      <c r="L9" s="17"/>
    </row>
    <row r="10" spans="1:12" ht="55.2">
      <c r="A10" s="16" t="s">
        <v>177</v>
      </c>
      <c r="B10" s="12">
        <v>224078106</v>
      </c>
      <c r="C10" s="12" t="s">
        <v>36</v>
      </c>
      <c r="D10" s="12" t="s">
        <v>216</v>
      </c>
      <c r="E10" s="12" t="s">
        <v>221</v>
      </c>
      <c r="F10" s="12" t="s">
        <v>205</v>
      </c>
      <c r="G10" s="13" t="s">
        <v>174</v>
      </c>
      <c r="H10" s="23">
        <v>72</v>
      </c>
      <c r="I10" s="12"/>
      <c r="J10" s="12" t="s">
        <v>160</v>
      </c>
      <c r="K10" s="13" t="s">
        <v>172</v>
      </c>
      <c r="L10" s="17"/>
    </row>
    <row r="11" spans="1:12" ht="41.4">
      <c r="A11" s="16" t="s">
        <v>157</v>
      </c>
      <c r="B11" s="12"/>
      <c r="C11" s="12" t="s">
        <v>36</v>
      </c>
      <c r="D11" s="12" t="s">
        <v>201</v>
      </c>
      <c r="E11" s="12" t="s">
        <v>215</v>
      </c>
      <c r="F11" s="12" t="s">
        <v>205</v>
      </c>
      <c r="G11" s="13">
        <v>46318</v>
      </c>
      <c r="H11" s="23">
        <v>120</v>
      </c>
      <c r="I11" s="12"/>
      <c r="J11" s="12" t="s">
        <v>160</v>
      </c>
      <c r="K11" s="13" t="s">
        <v>203</v>
      </c>
      <c r="L11" s="17"/>
    </row>
    <row r="12" spans="1:12">
      <c r="A12" s="16"/>
      <c r="B12" s="12"/>
      <c r="C12" s="12"/>
      <c r="D12" s="12"/>
      <c r="E12" s="12"/>
      <c r="F12" s="12"/>
      <c r="G12" s="13"/>
      <c r="H12" s="23"/>
      <c r="I12" s="12"/>
      <c r="J12" s="12"/>
      <c r="K12" s="13"/>
      <c r="L12" s="17"/>
    </row>
    <row r="13" spans="1:12">
      <c r="A13" s="16"/>
      <c r="B13" s="12"/>
      <c r="C13" s="12"/>
      <c r="D13" s="12"/>
      <c r="E13" s="12"/>
      <c r="F13" s="12"/>
      <c r="G13" s="13"/>
      <c r="H13" s="23"/>
      <c r="I13" s="12"/>
      <c r="J13" s="12"/>
      <c r="K13" s="13"/>
      <c r="L13" s="17"/>
    </row>
    <row r="14" spans="1:12">
      <c r="A14" s="16"/>
      <c r="B14" s="12"/>
      <c r="C14" s="12"/>
      <c r="D14" s="12"/>
      <c r="E14" s="12"/>
      <c r="F14" s="12"/>
      <c r="G14" s="13"/>
      <c r="H14" s="23"/>
      <c r="I14" s="12"/>
      <c r="J14" s="12"/>
      <c r="K14" s="13"/>
      <c r="L14" s="17"/>
    </row>
    <row r="15" spans="1:12">
      <c r="A15" s="16"/>
      <c r="B15" s="12"/>
      <c r="C15" s="12"/>
      <c r="D15" s="12"/>
      <c r="E15" s="12"/>
      <c r="F15" s="12"/>
      <c r="G15" s="13"/>
      <c r="H15" s="23"/>
      <c r="I15" s="12"/>
      <c r="J15" s="12"/>
      <c r="K15" s="13"/>
      <c r="L15" s="17"/>
    </row>
    <row r="16" spans="1:12">
      <c r="A16" s="16"/>
      <c r="B16" s="12"/>
      <c r="C16" s="12"/>
      <c r="D16" s="12"/>
      <c r="E16" s="12"/>
      <c r="F16" s="12"/>
      <c r="G16" s="13"/>
      <c r="H16" s="23"/>
      <c r="I16" s="12"/>
      <c r="J16" s="12"/>
      <c r="K16" s="13"/>
      <c r="L16" s="17"/>
    </row>
    <row r="17" spans="1:12">
      <c r="A17" s="16"/>
      <c r="B17" s="12"/>
      <c r="C17" s="12"/>
      <c r="D17" s="12"/>
      <c r="E17" s="12"/>
      <c r="F17" s="12"/>
      <c r="G17" s="13"/>
      <c r="H17" s="23"/>
      <c r="I17" s="12"/>
      <c r="J17" s="12"/>
      <c r="K17" s="13"/>
      <c r="L17" s="17"/>
    </row>
    <row r="18" spans="1:12">
      <c r="A18" s="16"/>
      <c r="B18" s="12"/>
      <c r="C18" s="12"/>
      <c r="D18" s="12"/>
      <c r="E18" s="12"/>
      <c r="F18" s="12"/>
      <c r="G18" s="13"/>
      <c r="H18" s="23"/>
      <c r="I18" s="12"/>
      <c r="J18" s="12"/>
      <c r="K18" s="13"/>
      <c r="L18" s="17"/>
    </row>
    <row r="19" spans="1:12">
      <c r="A19" s="16"/>
      <c r="B19" s="12"/>
      <c r="C19" s="12"/>
      <c r="D19" s="12"/>
      <c r="E19" s="12"/>
      <c r="F19" s="12"/>
      <c r="G19" s="13"/>
      <c r="H19" s="23"/>
      <c r="I19" s="12"/>
      <c r="J19" s="12"/>
      <c r="K19" s="13"/>
      <c r="L19" s="17"/>
    </row>
    <row r="20" spans="1:12">
      <c r="A20" s="16"/>
      <c r="B20" s="12"/>
      <c r="C20" s="12"/>
      <c r="D20" s="12"/>
      <c r="E20" s="12"/>
      <c r="F20" s="12"/>
      <c r="G20" s="13"/>
      <c r="H20" s="23"/>
      <c r="I20" s="12"/>
      <c r="J20" s="12"/>
      <c r="K20" s="13"/>
      <c r="L20" s="17"/>
    </row>
    <row r="21" spans="1:12">
      <c r="A21" s="16"/>
      <c r="B21" s="12"/>
      <c r="C21" s="12"/>
      <c r="D21" s="12"/>
      <c r="E21" s="12"/>
      <c r="F21" s="12"/>
      <c r="G21" s="13"/>
      <c r="H21" s="23"/>
      <c r="I21" s="12"/>
      <c r="J21" s="12"/>
      <c r="K21" s="13"/>
      <c r="L21" s="17"/>
    </row>
    <row r="22" spans="1:12">
      <c r="A22" s="16"/>
      <c r="B22" s="12"/>
      <c r="C22" s="12"/>
      <c r="D22" s="12"/>
      <c r="E22" s="12"/>
      <c r="F22" s="12"/>
      <c r="G22" s="13"/>
      <c r="H22" s="23"/>
      <c r="I22" s="12"/>
      <c r="J22" s="12"/>
      <c r="K22" s="13"/>
      <c r="L22" s="17"/>
    </row>
    <row r="23" spans="1:12">
      <c r="A23" s="16"/>
      <c r="B23" s="12"/>
      <c r="C23" s="12"/>
      <c r="D23" s="12"/>
      <c r="E23" s="12"/>
      <c r="F23" s="12"/>
      <c r="G23" s="13"/>
      <c r="H23" s="23"/>
      <c r="I23" s="12"/>
      <c r="J23" s="12"/>
      <c r="K23" s="13"/>
      <c r="L23" s="17"/>
    </row>
    <row r="24" spans="1:12">
      <c r="A24" s="16"/>
      <c r="B24" s="12"/>
      <c r="C24" s="12"/>
      <c r="D24" s="12"/>
      <c r="E24" s="12"/>
      <c r="F24" s="12"/>
      <c r="G24" s="13"/>
      <c r="H24" s="23"/>
      <c r="I24" s="12"/>
      <c r="J24" s="12"/>
      <c r="K24" s="13"/>
      <c r="L24" s="17"/>
    </row>
    <row r="25" spans="1:12">
      <c r="A25" s="16"/>
      <c r="B25" s="12"/>
      <c r="C25" s="12"/>
      <c r="D25" s="12"/>
      <c r="E25" s="12"/>
      <c r="F25" s="12"/>
      <c r="G25" s="13"/>
      <c r="H25" s="23"/>
      <c r="I25" s="12"/>
      <c r="J25" s="12"/>
      <c r="K25" s="13"/>
      <c r="L25" s="17"/>
    </row>
    <row r="26" spans="1:12">
      <c r="A26" s="16"/>
      <c r="B26" s="12"/>
      <c r="C26" s="12"/>
      <c r="D26" s="12"/>
      <c r="E26" s="12"/>
      <c r="F26" s="12"/>
      <c r="G26" s="13"/>
      <c r="H26" s="23"/>
      <c r="I26" s="12"/>
      <c r="J26" s="12"/>
      <c r="K26" s="13"/>
      <c r="L26" s="17"/>
    </row>
    <row r="27" spans="1:12">
      <c r="A27" s="16"/>
      <c r="B27" s="12"/>
      <c r="C27" s="12"/>
      <c r="D27" s="12"/>
      <c r="E27" s="12"/>
      <c r="F27" s="12"/>
      <c r="G27" s="13"/>
      <c r="H27" s="23"/>
      <c r="I27" s="12"/>
      <c r="J27" s="12"/>
      <c r="K27" s="13"/>
      <c r="L27" s="17"/>
    </row>
    <row r="28" spans="1:12">
      <c r="A28" s="16"/>
      <c r="B28" s="12"/>
      <c r="C28" s="12"/>
      <c r="D28" s="12"/>
      <c r="E28" s="12"/>
      <c r="F28" s="12"/>
      <c r="G28" s="13"/>
      <c r="H28" s="23"/>
      <c r="I28" s="12"/>
      <c r="J28" s="12"/>
      <c r="K28" s="13"/>
      <c r="L28" s="17"/>
    </row>
    <row r="29" spans="1:12">
      <c r="A29" s="16"/>
      <c r="B29" s="12"/>
      <c r="C29" s="12"/>
      <c r="D29" s="12"/>
      <c r="E29" s="12"/>
      <c r="F29" s="12"/>
      <c r="G29" s="13"/>
      <c r="H29" s="23"/>
      <c r="I29" s="12"/>
      <c r="J29" s="12"/>
      <c r="K29" s="13"/>
      <c r="L29" s="17"/>
    </row>
    <row r="30" spans="1:12">
      <c r="A30" s="16"/>
      <c r="B30" s="12"/>
      <c r="C30" s="12"/>
      <c r="D30" s="12"/>
      <c r="E30" s="12"/>
      <c r="F30" s="12"/>
      <c r="G30" s="13"/>
      <c r="H30" s="23"/>
      <c r="I30" s="12"/>
      <c r="J30" s="12"/>
      <c r="K30" s="13"/>
      <c r="L30" s="17"/>
    </row>
    <row r="31" spans="1:12">
      <c r="A31" s="16"/>
      <c r="B31" s="12"/>
      <c r="C31" s="12"/>
      <c r="D31" s="12"/>
      <c r="E31" s="12"/>
      <c r="F31" s="12"/>
      <c r="G31" s="13"/>
      <c r="H31" s="23"/>
      <c r="I31" s="12"/>
      <c r="J31" s="12"/>
      <c r="K31" s="13"/>
      <c r="L31" s="17"/>
    </row>
    <row r="32" spans="1:12">
      <c r="A32" s="16"/>
      <c r="B32" s="12"/>
      <c r="C32" s="12"/>
      <c r="D32" s="12"/>
      <c r="E32" s="12"/>
      <c r="F32" s="12"/>
      <c r="G32" s="13"/>
      <c r="H32" s="23"/>
      <c r="I32" s="12"/>
      <c r="J32" s="12"/>
      <c r="K32" s="13"/>
      <c r="L32" s="17"/>
    </row>
    <row r="33" spans="1:12">
      <c r="A33" s="16"/>
      <c r="B33" s="12"/>
      <c r="C33" s="12"/>
      <c r="D33" s="12"/>
      <c r="E33" s="12"/>
      <c r="F33" s="12"/>
      <c r="G33" s="13"/>
      <c r="H33" s="23"/>
      <c r="I33" s="12"/>
      <c r="J33" s="12"/>
      <c r="K33" s="13"/>
      <c r="L33" s="17"/>
    </row>
    <row r="34" spans="1:12">
      <c r="A34" s="16"/>
      <c r="B34" s="12"/>
      <c r="C34" s="12"/>
      <c r="D34" s="12"/>
      <c r="E34" s="12"/>
      <c r="F34" s="12"/>
      <c r="G34" s="13"/>
      <c r="H34" s="23"/>
      <c r="I34" s="12"/>
      <c r="J34" s="12"/>
      <c r="K34" s="13"/>
      <c r="L34" s="17"/>
    </row>
    <row r="35" spans="1:12">
      <c r="A35" s="16"/>
      <c r="B35" s="12"/>
      <c r="C35" s="12"/>
      <c r="D35" s="12"/>
      <c r="E35" s="12"/>
      <c r="F35" s="12"/>
      <c r="G35" s="13"/>
      <c r="H35" s="23"/>
      <c r="I35" s="12"/>
      <c r="J35" s="12"/>
      <c r="K35" s="13"/>
      <c r="L35" s="17"/>
    </row>
    <row r="36" spans="1:12">
      <c r="A36" s="16"/>
      <c r="B36" s="12"/>
      <c r="C36" s="12"/>
      <c r="D36" s="12"/>
      <c r="E36" s="12"/>
      <c r="F36" s="12"/>
      <c r="G36" s="13"/>
      <c r="H36" s="23"/>
      <c r="I36" s="12"/>
      <c r="J36" s="12"/>
      <c r="K36" s="13"/>
      <c r="L36" s="17"/>
    </row>
    <row r="37" spans="1:12">
      <c r="A37" s="16"/>
      <c r="B37" s="12"/>
      <c r="C37" s="12"/>
      <c r="D37" s="12"/>
      <c r="E37" s="12"/>
      <c r="F37" s="12"/>
      <c r="G37" s="13"/>
      <c r="H37" s="23"/>
      <c r="I37" s="12"/>
      <c r="J37" s="12"/>
      <c r="K37" s="13"/>
      <c r="L37" s="17"/>
    </row>
    <row r="38" spans="1:12">
      <c r="A38" s="16"/>
      <c r="B38" s="12"/>
      <c r="C38" s="12"/>
      <c r="D38" s="12"/>
      <c r="E38" s="12"/>
      <c r="F38" s="12"/>
      <c r="G38" s="13"/>
      <c r="H38" s="23"/>
      <c r="I38" s="12"/>
      <c r="J38" s="12"/>
      <c r="K38" s="13"/>
      <c r="L38" s="17"/>
    </row>
    <row r="39" spans="1:12">
      <c r="A39" s="16"/>
      <c r="B39" s="12"/>
      <c r="C39" s="12"/>
      <c r="D39" s="12"/>
      <c r="E39" s="12"/>
      <c r="F39" s="12"/>
      <c r="G39" s="13"/>
      <c r="H39" s="23"/>
      <c r="I39" s="12"/>
      <c r="J39" s="12"/>
      <c r="K39" s="13"/>
      <c r="L39" s="17"/>
    </row>
    <row r="40" spans="1:12">
      <c r="A40" s="16"/>
      <c r="B40" s="12"/>
      <c r="C40" s="12"/>
      <c r="D40" s="12"/>
      <c r="E40" s="12"/>
      <c r="F40" s="12"/>
      <c r="G40" s="13"/>
      <c r="H40" s="23"/>
      <c r="I40" s="12"/>
      <c r="J40" s="12"/>
      <c r="K40" s="13"/>
      <c r="L40" s="17"/>
    </row>
    <row r="41" spans="1:12">
      <c r="A41" s="16"/>
      <c r="B41" s="12"/>
      <c r="C41" s="12"/>
      <c r="D41" s="12"/>
      <c r="E41" s="12"/>
      <c r="F41" s="12"/>
      <c r="G41" s="13"/>
      <c r="H41" s="23"/>
      <c r="I41" s="12"/>
      <c r="J41" s="12"/>
      <c r="K41" s="13"/>
      <c r="L41" s="17"/>
    </row>
    <row r="42" spans="1:12">
      <c r="A42" s="16"/>
      <c r="B42" s="12"/>
      <c r="C42" s="12"/>
      <c r="D42" s="12"/>
      <c r="E42" s="12"/>
      <c r="F42" s="12"/>
      <c r="G42" s="13"/>
      <c r="H42" s="23"/>
      <c r="I42" s="12"/>
      <c r="J42" s="12"/>
      <c r="K42" s="13"/>
      <c r="L42" s="17"/>
    </row>
    <row r="43" spans="1:12">
      <c r="A43" s="16"/>
      <c r="B43" s="12"/>
      <c r="C43" s="12"/>
      <c r="D43" s="12"/>
      <c r="E43" s="12"/>
      <c r="F43" s="12"/>
      <c r="G43" s="13"/>
      <c r="H43" s="23"/>
      <c r="I43" s="12"/>
      <c r="J43" s="12"/>
      <c r="K43" s="13"/>
      <c r="L43" s="17"/>
    </row>
    <row r="44" spans="1:12">
      <c r="A44" s="16"/>
      <c r="B44" s="12"/>
      <c r="C44" s="12"/>
      <c r="D44" s="12"/>
      <c r="E44" s="12"/>
      <c r="F44" s="12"/>
      <c r="G44" s="13"/>
      <c r="H44" s="23"/>
      <c r="I44" s="12"/>
      <c r="J44" s="12"/>
      <c r="K44" s="13"/>
      <c r="L44" s="17"/>
    </row>
    <row r="45" spans="1:12">
      <c r="A45" s="16"/>
      <c r="B45" s="12"/>
      <c r="C45" s="12"/>
      <c r="D45" s="12"/>
      <c r="E45" s="12"/>
      <c r="F45" s="12"/>
      <c r="G45" s="13"/>
      <c r="H45" s="23"/>
      <c r="I45" s="12"/>
      <c r="J45" s="12"/>
      <c r="K45" s="13"/>
      <c r="L45" s="17"/>
    </row>
    <row r="46" spans="1:12">
      <c r="A46" s="16"/>
      <c r="B46" s="12"/>
      <c r="C46" s="12"/>
      <c r="D46" s="12"/>
      <c r="E46" s="12"/>
      <c r="F46" s="12"/>
      <c r="G46" s="13"/>
      <c r="H46" s="23"/>
      <c r="I46" s="12"/>
      <c r="J46" s="12"/>
      <c r="K46" s="13"/>
      <c r="L46" s="17"/>
    </row>
    <row r="47" spans="1:12">
      <c r="A47" s="16"/>
      <c r="B47" s="12"/>
      <c r="C47" s="12"/>
      <c r="D47" s="12"/>
      <c r="E47" s="12"/>
      <c r="F47" s="12"/>
      <c r="G47" s="13"/>
      <c r="H47" s="23"/>
      <c r="I47" s="12"/>
      <c r="J47" s="12"/>
      <c r="K47" s="13"/>
      <c r="L47" s="17"/>
    </row>
    <row r="48" spans="1:12">
      <c r="A48" s="16"/>
      <c r="B48" s="12"/>
      <c r="C48" s="12"/>
      <c r="D48" s="12"/>
      <c r="E48" s="12"/>
      <c r="F48" s="12"/>
      <c r="G48" s="13"/>
      <c r="H48" s="23"/>
      <c r="I48" s="12"/>
      <c r="J48" s="12"/>
      <c r="K48" s="13"/>
      <c r="L48" s="17"/>
    </row>
    <row r="49" spans="1:12">
      <c r="A49" s="16"/>
      <c r="B49" s="12"/>
      <c r="C49" s="12"/>
      <c r="D49" s="12"/>
      <c r="E49" s="12"/>
      <c r="F49" s="12"/>
      <c r="G49" s="13"/>
      <c r="H49" s="23"/>
      <c r="I49" s="12"/>
      <c r="J49" s="12"/>
      <c r="K49" s="13"/>
      <c r="L49" s="17"/>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6"/>
      <c r="B189" s="12"/>
      <c r="C189" s="12"/>
      <c r="D189" s="12"/>
      <c r="E189" s="12"/>
      <c r="F189" s="12"/>
      <c r="G189" s="13"/>
      <c r="H189" s="23"/>
      <c r="I189" s="12"/>
      <c r="J189" s="12"/>
      <c r="K189" s="13"/>
      <c r="L189" s="17"/>
    </row>
    <row r="190" spans="1:12">
      <c r="A190" s="16"/>
      <c r="B190" s="12"/>
      <c r="C190" s="12"/>
      <c r="D190" s="12"/>
      <c r="E190" s="12"/>
      <c r="F190" s="12"/>
      <c r="G190" s="13"/>
      <c r="H190" s="23"/>
      <c r="I190" s="12"/>
      <c r="J190" s="12"/>
      <c r="K190" s="13"/>
      <c r="L190" s="17"/>
    </row>
    <row r="191" spans="1:12">
      <c r="A191" s="16"/>
      <c r="B191" s="12"/>
      <c r="C191" s="12"/>
      <c r="D191" s="12"/>
      <c r="E191" s="12"/>
      <c r="F191" s="12"/>
      <c r="G191" s="13"/>
      <c r="H191" s="23"/>
      <c r="I191" s="12"/>
      <c r="J191" s="12"/>
      <c r="K191" s="13"/>
      <c r="L191" s="17"/>
    </row>
    <row r="192" spans="1:12">
      <c r="A192" s="16"/>
      <c r="B192" s="12"/>
      <c r="C192" s="12"/>
      <c r="D192" s="12"/>
      <c r="E192" s="12"/>
      <c r="F192" s="12"/>
      <c r="G192" s="13"/>
      <c r="H192" s="23"/>
      <c r="I192" s="12"/>
      <c r="J192" s="12"/>
      <c r="K192" s="13"/>
      <c r="L192" s="17"/>
    </row>
    <row r="193" spans="1:12">
      <c r="A193" s="16"/>
      <c r="B193" s="12"/>
      <c r="C193" s="12"/>
      <c r="D193" s="12"/>
      <c r="E193" s="12"/>
      <c r="F193" s="12"/>
      <c r="G193" s="13"/>
      <c r="H193" s="23"/>
      <c r="I193" s="12"/>
      <c r="J193" s="12"/>
      <c r="K193" s="13"/>
      <c r="L193" s="17"/>
    </row>
    <row r="194" spans="1:12">
      <c r="A194" s="16"/>
      <c r="B194" s="12"/>
      <c r="C194" s="12"/>
      <c r="D194" s="12"/>
      <c r="E194" s="12"/>
      <c r="F194" s="12"/>
      <c r="G194" s="13"/>
      <c r="H194" s="23"/>
      <c r="I194" s="12"/>
      <c r="J194" s="12"/>
      <c r="K194" s="13"/>
      <c r="L194" s="17"/>
    </row>
    <row r="195" spans="1:12">
      <c r="A195" s="16"/>
      <c r="B195" s="12"/>
      <c r="C195" s="12"/>
      <c r="D195" s="12"/>
      <c r="E195" s="12"/>
      <c r="F195" s="12"/>
      <c r="G195" s="13"/>
      <c r="H195" s="23"/>
      <c r="I195" s="12"/>
      <c r="J195" s="12"/>
      <c r="K195" s="13"/>
      <c r="L195" s="17"/>
    </row>
    <row r="196" spans="1:12">
      <c r="A196" s="16"/>
      <c r="B196" s="12"/>
      <c r="C196" s="12"/>
      <c r="D196" s="12"/>
      <c r="E196" s="12"/>
      <c r="F196" s="12"/>
      <c r="G196" s="13"/>
      <c r="H196" s="23"/>
      <c r="I196" s="12"/>
      <c r="J196" s="12"/>
      <c r="K196" s="13"/>
      <c r="L196" s="17"/>
    </row>
    <row r="197" spans="1:12">
      <c r="A197" s="16"/>
      <c r="B197" s="12"/>
      <c r="C197" s="12"/>
      <c r="D197" s="12"/>
      <c r="E197" s="12"/>
      <c r="F197" s="12"/>
      <c r="G197" s="13"/>
      <c r="H197" s="23"/>
      <c r="I197" s="12"/>
      <c r="J197" s="12"/>
      <c r="K197" s="13"/>
      <c r="L197" s="17"/>
    </row>
    <row r="198" spans="1:12">
      <c r="A198" s="16"/>
      <c r="B198" s="12"/>
      <c r="C198" s="12"/>
      <c r="D198" s="12"/>
      <c r="E198" s="12"/>
      <c r="F198" s="12"/>
      <c r="G198" s="13"/>
      <c r="H198" s="23"/>
      <c r="I198" s="12"/>
      <c r="J198" s="12"/>
      <c r="K198" s="13"/>
      <c r="L198" s="17"/>
    </row>
    <row r="199" spans="1:12">
      <c r="A199" s="16"/>
      <c r="B199" s="12"/>
      <c r="C199" s="12"/>
      <c r="D199" s="12"/>
      <c r="E199" s="12"/>
      <c r="F199" s="12"/>
      <c r="G199" s="13"/>
      <c r="H199" s="23"/>
      <c r="I199" s="12"/>
      <c r="J199" s="12"/>
      <c r="K199" s="13"/>
      <c r="L199" s="17"/>
    </row>
    <row r="200" spans="1:12">
      <c r="A200" s="16"/>
      <c r="B200" s="12"/>
      <c r="C200" s="12"/>
      <c r="D200" s="12"/>
      <c r="E200" s="12"/>
      <c r="F200" s="12"/>
      <c r="G200" s="13"/>
      <c r="H200" s="23"/>
      <c r="I200" s="12"/>
      <c r="J200" s="12"/>
      <c r="K200" s="13"/>
      <c r="L200" s="17"/>
    </row>
    <row r="201" spans="1:12">
      <c r="A201" s="18"/>
      <c r="B201" s="19"/>
      <c r="C201" s="19"/>
      <c r="D201" s="19"/>
      <c r="E201" s="19"/>
      <c r="F201" s="19"/>
      <c r="G201" s="20"/>
      <c r="H201" s="24"/>
      <c r="I201" s="19"/>
      <c r="J201" s="19"/>
      <c r="K201" s="20"/>
      <c r="L201" s="22"/>
    </row>
  </sheetData>
  <mergeCells count="1">
    <mergeCell ref="A1:L1"/>
  </mergeCells>
  <conditionalFormatting sqref="J3:J201">
    <cfRule type="expression" dxfId="6" priority="1">
      <formula>J3="Yes"</formula>
    </cfRule>
    <cfRule type="expression" dxfId="5" priority="2">
      <formula>J3="No"</formula>
    </cfRule>
  </conditionalFormatting>
  <dataValidations count="2">
    <dataValidation type="list" sqref="C3:C201" xr:uid="{00000000-0002-0000-0300-000000000000}">
      <formula1>"Unit 1 / Phase 1,Phase 2,Phase 3,Final"</formula1>
    </dataValidation>
    <dataValidation type="list" sqref="J3:J201" xr:uid="{00000000-0002-0000-0300-000001000000}">
      <formula1>"Yes,No"</formula1>
    </dataValidation>
  </dataValidations>
  <hyperlinks>
    <hyperlink ref="I3" r:id="rId1" xr:uid="{57EA5884-E0F8-4AF9-BAFA-878AAE7B3739}"/>
    <hyperlink ref="I7" r:id="rId2" xr:uid="{3AEBF428-77BD-4792-ADC3-66072F629357}"/>
    <hyperlink ref="I8" r:id="rId3" xr:uid="{D1902AE4-20C6-4C71-86ED-0BA44CC07DD1}"/>
    <hyperlink ref="I9" r:id="rId4" xr:uid="{95DBFF23-3637-43F3-8886-EDEE679F04E9}"/>
    <hyperlink ref="I6" r:id="rId5" xr:uid="{0819F7B2-DC3B-4A39-B567-86EBC85CCFD7}"/>
    <hyperlink ref="I5" r:id="rId6" xr:uid="{D16CFFFB-D33B-478A-9CD9-BC62BFF1F1E4}"/>
    <hyperlink ref="I4" r:id="rId7" xr:uid="{7A1B62C7-4323-49BB-9713-1537EF44F820}"/>
  </hyperlinks>
  <pageMargins left="0.7" right="0.7" top="0.75" bottom="0.75" header="0.3" footer="0.3"/>
  <tableParts count="1">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workbookViewId="0">
      <selection activeCell="F3" sqref="F3"/>
    </sheetView>
  </sheetViews>
  <sheetFormatPr defaultRowHeight="13.8"/>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30" customHeight="1">
      <c r="A1" s="30" t="s">
        <v>90</v>
      </c>
      <c r="B1" s="30"/>
      <c r="C1" s="30"/>
      <c r="D1" s="30"/>
      <c r="E1" s="30"/>
      <c r="F1" s="30"/>
      <c r="G1" s="30"/>
      <c r="H1" s="30"/>
      <c r="I1" s="30"/>
    </row>
    <row r="2" spans="1:9" ht="27.6">
      <c r="A2" s="1" t="s">
        <v>91</v>
      </c>
      <c r="B2" s="15" t="s">
        <v>69</v>
      </c>
      <c r="C2" s="15" t="s">
        <v>92</v>
      </c>
      <c r="D2" s="15" t="s">
        <v>3</v>
      </c>
      <c r="E2" s="15" t="s">
        <v>93</v>
      </c>
      <c r="F2" s="15" t="s">
        <v>94</v>
      </c>
      <c r="G2" s="15" t="s">
        <v>95</v>
      </c>
      <c r="H2" s="15" t="s">
        <v>96</v>
      </c>
      <c r="I2" s="2" t="s">
        <v>77</v>
      </c>
    </row>
    <row r="3" spans="1:9" ht="88.5" customHeight="1">
      <c r="A3" s="25" t="s">
        <v>154</v>
      </c>
      <c r="B3" s="12" t="s">
        <v>36</v>
      </c>
      <c r="C3" s="12" t="s">
        <v>155</v>
      </c>
      <c r="D3" s="12" t="s">
        <v>156</v>
      </c>
      <c r="E3" s="12" t="s">
        <v>157</v>
      </c>
      <c r="F3" s="12" t="s">
        <v>230</v>
      </c>
      <c r="G3" s="12" t="s">
        <v>158</v>
      </c>
      <c r="H3" s="12" t="s">
        <v>159</v>
      </c>
      <c r="I3" s="17" t="s">
        <v>222</v>
      </c>
    </row>
    <row r="4" spans="1:9">
      <c r="A4" s="25"/>
      <c r="B4" s="12"/>
      <c r="C4" s="12"/>
      <c r="D4" s="12"/>
      <c r="E4" s="12"/>
      <c r="F4" s="12"/>
      <c r="G4" s="12"/>
      <c r="H4" s="12"/>
      <c r="I4" s="17"/>
    </row>
    <row r="5" spans="1:9">
      <c r="A5" s="25"/>
      <c r="B5" s="12"/>
      <c r="C5" s="12"/>
      <c r="D5" s="12"/>
      <c r="E5" s="12"/>
      <c r="F5" s="12"/>
      <c r="G5" s="12"/>
      <c r="H5" s="12"/>
      <c r="I5" s="17"/>
    </row>
    <row r="6" spans="1:9">
      <c r="A6" s="25"/>
      <c r="B6" s="12"/>
      <c r="C6" s="12"/>
      <c r="D6" s="12"/>
      <c r="E6" s="12"/>
      <c r="F6" s="12"/>
      <c r="G6" s="12"/>
      <c r="H6" s="12"/>
      <c r="I6" s="17"/>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5"/>
      <c r="B99" s="12"/>
      <c r="C99" s="12"/>
      <c r="D99" s="12"/>
      <c r="E99" s="12"/>
      <c r="F99" s="12"/>
      <c r="G99" s="12"/>
      <c r="H99" s="12"/>
      <c r="I99" s="17"/>
    </row>
    <row r="100" spans="1:9">
      <c r="A100" s="25"/>
      <c r="B100" s="12"/>
      <c r="C100" s="12"/>
      <c r="D100" s="12"/>
      <c r="E100" s="12"/>
      <c r="F100" s="12"/>
      <c r="G100" s="12"/>
      <c r="H100" s="12"/>
      <c r="I100" s="17"/>
    </row>
    <row r="101" spans="1:9">
      <c r="A101" s="26"/>
      <c r="B101" s="19"/>
      <c r="C101" s="19"/>
      <c r="D101" s="19"/>
      <c r="E101" s="19"/>
      <c r="F101" s="19"/>
      <c r="G101" s="19"/>
      <c r="H101" s="19"/>
      <c r="I101" s="22"/>
    </row>
  </sheetData>
  <mergeCells count="1">
    <mergeCell ref="A1:I1"/>
  </mergeCells>
  <phoneticPr fontId="6" type="noConversion"/>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workbookViewId="0">
      <selection activeCell="C6" sqref="C6"/>
    </sheetView>
  </sheetViews>
  <sheetFormatPr defaultRowHeight="13.8"/>
  <cols>
    <col min="1" max="1" width="15" customWidth="1"/>
    <col min="2" max="2" width="19" customWidth="1"/>
    <col min="3" max="4" width="34" customWidth="1"/>
    <col min="5" max="5" width="38" customWidth="1"/>
    <col min="6" max="6" width="24" customWidth="1"/>
    <col min="7" max="8" width="14" customWidth="1"/>
  </cols>
  <sheetData>
    <row r="1" spans="1:8" ht="30" customHeight="1">
      <c r="A1" s="30" t="s">
        <v>97</v>
      </c>
      <c r="B1" s="30"/>
      <c r="C1" s="30"/>
      <c r="D1" s="30"/>
      <c r="E1" s="30"/>
      <c r="F1" s="30"/>
      <c r="G1" s="30"/>
      <c r="H1" s="30"/>
    </row>
    <row r="2" spans="1:8">
      <c r="A2" s="1" t="s">
        <v>98</v>
      </c>
      <c r="B2" s="15" t="s">
        <v>69</v>
      </c>
      <c r="C2" s="15" t="s">
        <v>99</v>
      </c>
      <c r="D2" s="15" t="s">
        <v>100</v>
      </c>
      <c r="E2" s="15" t="s">
        <v>101</v>
      </c>
      <c r="F2" s="15" t="s">
        <v>102</v>
      </c>
      <c r="G2" s="15" t="s">
        <v>103</v>
      </c>
      <c r="H2" s="2" t="s">
        <v>75</v>
      </c>
    </row>
    <row r="3" spans="1:8" ht="61.5" customHeight="1">
      <c r="A3" s="25" t="s">
        <v>198</v>
      </c>
      <c r="B3" s="12" t="s">
        <v>36</v>
      </c>
      <c r="C3" s="12" t="s">
        <v>169</v>
      </c>
      <c r="D3" s="12" t="s">
        <v>170</v>
      </c>
      <c r="E3" s="12" t="s">
        <v>195</v>
      </c>
      <c r="F3" s="12" t="s">
        <v>171</v>
      </c>
      <c r="G3" s="13" t="s">
        <v>174</v>
      </c>
      <c r="H3" s="17" t="s">
        <v>173</v>
      </c>
    </row>
    <row r="4" spans="1:8" ht="41.25" customHeight="1">
      <c r="A4" s="25" t="s">
        <v>198</v>
      </c>
      <c r="B4" s="12" t="s">
        <v>36</v>
      </c>
      <c r="C4" s="12" t="s">
        <v>175</v>
      </c>
      <c r="D4" s="12" t="s">
        <v>176</v>
      </c>
      <c r="E4" s="12" t="s">
        <v>196</v>
      </c>
      <c r="F4" s="12" t="s">
        <v>177</v>
      </c>
      <c r="G4" s="13" t="s">
        <v>174</v>
      </c>
      <c r="H4" s="17" t="s">
        <v>173</v>
      </c>
    </row>
    <row r="5" spans="1:8">
      <c r="A5" s="25"/>
      <c r="B5" s="12"/>
      <c r="C5" s="12"/>
      <c r="D5" s="12"/>
      <c r="E5" s="12"/>
      <c r="F5" s="12"/>
      <c r="G5" s="13"/>
      <c r="H5" s="17"/>
    </row>
    <row r="6" spans="1:8">
      <c r="A6" s="25"/>
      <c r="B6" s="12"/>
      <c r="C6" s="12"/>
      <c r="D6" s="12"/>
      <c r="E6" s="12"/>
      <c r="F6" s="12"/>
      <c r="G6" s="13"/>
      <c r="H6" s="17"/>
    </row>
    <row r="7" spans="1:8">
      <c r="A7" s="25"/>
      <c r="B7" s="12"/>
      <c r="C7" s="12"/>
      <c r="D7" s="12"/>
      <c r="E7" s="12"/>
      <c r="F7" s="12"/>
      <c r="G7" s="13"/>
      <c r="H7" s="17"/>
    </row>
    <row r="8" spans="1:8">
      <c r="A8" s="25"/>
      <c r="B8" s="12"/>
      <c r="C8" s="12"/>
      <c r="D8" s="12"/>
      <c r="E8" s="12"/>
      <c r="F8" s="12"/>
      <c r="G8" s="13"/>
      <c r="H8" s="17"/>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5"/>
      <c r="B99" s="12"/>
      <c r="C99" s="12"/>
      <c r="D99" s="12"/>
      <c r="E99" s="12"/>
      <c r="F99" s="12"/>
      <c r="G99" s="13"/>
      <c r="H99" s="17"/>
    </row>
    <row r="100" spans="1:8">
      <c r="A100" s="25"/>
      <c r="B100" s="12"/>
      <c r="C100" s="12"/>
      <c r="D100" s="12"/>
      <c r="E100" s="12"/>
      <c r="F100" s="12"/>
      <c r="G100" s="13"/>
      <c r="H100" s="17"/>
    </row>
    <row r="101" spans="1:8">
      <c r="A101" s="26"/>
      <c r="B101" s="19"/>
      <c r="C101" s="19"/>
      <c r="D101" s="19"/>
      <c r="E101" s="19"/>
      <c r="F101" s="19"/>
      <c r="G101" s="20"/>
      <c r="H101" s="22"/>
    </row>
  </sheetData>
  <mergeCells count="1">
    <mergeCell ref="A1:H1"/>
  </mergeCells>
  <conditionalFormatting sqref="H3:H10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01" xr:uid="{00000000-0002-0000-0500-000000000000}">
      <formula1>"Unit 1 / Phase 1,Phase 2,Phase 3,Final"</formula1>
    </dataValidation>
    <dataValidation type="list" sqref="H3:H101" xr:uid="{00000000-0002-0000-0500-000001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topLeftCell="A8" workbookViewId="0">
      <selection activeCell="B8" sqref="B8"/>
    </sheetView>
  </sheetViews>
  <sheetFormatPr defaultRowHeight="13.8"/>
  <cols>
    <col min="1" max="1" width="34" customWidth="1"/>
    <col min="2" max="2" width="58" customWidth="1"/>
    <col min="3" max="3" width="3" customWidth="1"/>
    <col min="4" max="4" width="40" customWidth="1"/>
    <col min="5" max="5" width="12" customWidth="1"/>
    <col min="6" max="6" width="3" customWidth="1"/>
  </cols>
  <sheetData>
    <row r="1" spans="1:6" ht="30" customHeight="1">
      <c r="A1" s="30" t="s">
        <v>104</v>
      </c>
      <c r="B1" s="30"/>
      <c r="C1" s="30"/>
      <c r="D1" s="30"/>
      <c r="E1" s="30"/>
      <c r="F1" s="30"/>
    </row>
    <row r="3" spans="1:6">
      <c r="A3" s="1" t="s">
        <v>105</v>
      </c>
      <c r="B3" s="2" t="s">
        <v>42</v>
      </c>
      <c r="D3" s="35" t="s">
        <v>106</v>
      </c>
      <c r="E3" s="36"/>
      <c r="F3" s="37"/>
    </row>
    <row r="4" spans="1:6">
      <c r="A4" s="3" t="s">
        <v>53</v>
      </c>
      <c r="B4" s="7" t="s">
        <v>36</v>
      </c>
      <c r="D4" s="3" t="s">
        <v>107</v>
      </c>
      <c r="E4" s="27" t="s">
        <v>160</v>
      </c>
    </row>
    <row r="5" spans="1:6">
      <c r="A5" s="3" t="s">
        <v>55</v>
      </c>
      <c r="B5" s="7" t="s">
        <v>161</v>
      </c>
      <c r="D5" s="3" t="s">
        <v>108</v>
      </c>
      <c r="E5" s="27" t="s">
        <v>160</v>
      </c>
    </row>
    <row r="6" spans="1:6">
      <c r="A6" s="3" t="s">
        <v>109</v>
      </c>
      <c r="B6" s="7" t="s">
        <v>46</v>
      </c>
      <c r="D6" s="3" t="s">
        <v>110</v>
      </c>
      <c r="E6" s="27" t="s">
        <v>160</v>
      </c>
    </row>
    <row r="7" spans="1:6" ht="60" customHeight="1">
      <c r="A7" s="3" t="s">
        <v>111</v>
      </c>
      <c r="B7" s="7" t="s">
        <v>162</v>
      </c>
      <c r="D7" s="3" t="s">
        <v>112</v>
      </c>
      <c r="E7" s="27" t="s">
        <v>160</v>
      </c>
    </row>
    <row r="8" spans="1:6" ht="60" customHeight="1">
      <c r="A8" s="3" t="s">
        <v>113</v>
      </c>
      <c r="B8" s="7" t="s">
        <v>163</v>
      </c>
      <c r="D8" s="3" t="s">
        <v>114</v>
      </c>
      <c r="E8" s="27" t="s">
        <v>160</v>
      </c>
    </row>
    <row r="9" spans="1:6" ht="60" customHeight="1">
      <c r="A9" s="3" t="s">
        <v>115</v>
      </c>
      <c r="B9" s="7" t="s">
        <v>163</v>
      </c>
      <c r="D9" s="3" t="s">
        <v>116</v>
      </c>
      <c r="E9" s="27" t="s">
        <v>160</v>
      </c>
    </row>
    <row r="10" spans="1:6" ht="60" customHeight="1">
      <c r="A10" s="3" t="s">
        <v>117</v>
      </c>
      <c r="B10" s="7" t="s">
        <v>164</v>
      </c>
      <c r="D10" s="3" t="s">
        <v>118</v>
      </c>
      <c r="E10" s="27" t="s">
        <v>160</v>
      </c>
    </row>
    <row r="11" spans="1:6" ht="60" customHeight="1">
      <c r="A11" s="3" t="s">
        <v>119</v>
      </c>
      <c r="B11" s="7" t="s">
        <v>165</v>
      </c>
      <c r="D11" s="3" t="s">
        <v>120</v>
      </c>
      <c r="E11" s="27" t="s">
        <v>160</v>
      </c>
    </row>
    <row r="12" spans="1:6" ht="60" customHeight="1">
      <c r="A12" s="3" t="s">
        <v>121</v>
      </c>
      <c r="B12" s="7" t="s">
        <v>166</v>
      </c>
      <c r="D12" s="5" t="s">
        <v>122</v>
      </c>
      <c r="E12" s="28" t="s">
        <v>160</v>
      </c>
    </row>
    <row r="13" spans="1:6" ht="60" customHeight="1">
      <c r="A13" s="5" t="s">
        <v>123</v>
      </c>
      <c r="B13" s="9" t="s">
        <v>163</v>
      </c>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A10" workbookViewId="0">
      <selection activeCell="B12" sqref="B12"/>
    </sheetView>
  </sheetViews>
  <sheetFormatPr defaultRowHeight="13.8"/>
  <cols>
    <col min="1" max="1" width="38" customWidth="1"/>
    <col min="2" max="2" width="62" customWidth="1"/>
    <col min="3" max="3" width="3" customWidth="1"/>
    <col min="4" max="4" width="20" customWidth="1"/>
    <col min="5" max="5" width="48" customWidth="1"/>
    <col min="6" max="6" width="3" customWidth="1"/>
  </cols>
  <sheetData>
    <row r="1" spans="1:6" ht="30" customHeight="1">
      <c r="A1" s="30" t="s">
        <v>29</v>
      </c>
      <c r="B1" s="30"/>
      <c r="C1" s="30"/>
      <c r="D1" s="30"/>
      <c r="E1" s="30"/>
      <c r="F1" s="30"/>
    </row>
    <row r="3" spans="1:6">
      <c r="A3" s="1" t="s">
        <v>124</v>
      </c>
      <c r="B3" s="2" t="s">
        <v>42</v>
      </c>
      <c r="D3" s="35" t="s">
        <v>125</v>
      </c>
      <c r="E3" s="36"/>
      <c r="F3" s="37"/>
    </row>
    <row r="4" spans="1:6" ht="42" customHeight="1">
      <c r="A4" s="3" t="s">
        <v>53</v>
      </c>
      <c r="B4" s="7" t="s">
        <v>36</v>
      </c>
      <c r="D4" s="3" t="s">
        <v>126</v>
      </c>
      <c r="E4" s="4" t="s">
        <v>127</v>
      </c>
    </row>
    <row r="5" spans="1:6" ht="42" customHeight="1">
      <c r="A5" s="3" t="s">
        <v>47</v>
      </c>
      <c r="B5" s="7" t="s">
        <v>147</v>
      </c>
      <c r="D5" s="3" t="s">
        <v>128</v>
      </c>
      <c r="E5" s="4" t="s">
        <v>129</v>
      </c>
    </row>
    <row r="6" spans="1:6" ht="42" customHeight="1">
      <c r="A6" s="3" t="s">
        <v>130</v>
      </c>
      <c r="B6" s="7" t="s">
        <v>167</v>
      </c>
      <c r="D6" s="3" t="s">
        <v>131</v>
      </c>
      <c r="E6" s="4" t="s">
        <v>132</v>
      </c>
    </row>
    <row r="7" spans="1:6" ht="42" customHeight="1">
      <c r="A7" s="3" t="s">
        <v>133</v>
      </c>
      <c r="B7" s="7" t="s">
        <v>232</v>
      </c>
      <c r="D7" s="3" t="s">
        <v>134</v>
      </c>
      <c r="E7" s="4" t="s">
        <v>135</v>
      </c>
    </row>
    <row r="8" spans="1:6" ht="42" customHeight="1">
      <c r="A8" s="3" t="s">
        <v>136</v>
      </c>
      <c r="B8" s="7" t="s">
        <v>194</v>
      </c>
      <c r="D8" s="5" t="s">
        <v>137</v>
      </c>
      <c r="E8" s="6" t="s">
        <v>138</v>
      </c>
    </row>
    <row r="9" spans="1:6" ht="74.099999999999994" customHeight="1">
      <c r="A9" s="3" t="s">
        <v>139</v>
      </c>
      <c r="B9" s="7" t="s">
        <v>178</v>
      </c>
    </row>
    <row r="10" spans="1:6" ht="74.099999999999994" customHeight="1">
      <c r="A10" s="3" t="s">
        <v>140</v>
      </c>
      <c r="B10" s="7" t="s">
        <v>168</v>
      </c>
    </row>
    <row r="11" spans="1:6" ht="74.099999999999994" customHeight="1">
      <c r="A11" s="3" t="s">
        <v>141</v>
      </c>
      <c r="B11" s="7" t="s">
        <v>231</v>
      </c>
    </row>
    <row r="12" spans="1:6" ht="74.099999999999994" customHeight="1">
      <c r="A12" s="3" t="s">
        <v>142</v>
      </c>
      <c r="B12" s="7" t="s">
        <v>233</v>
      </c>
    </row>
    <row r="13" spans="1:6" ht="74.099999999999994" customHeight="1">
      <c r="A13" s="3" t="s">
        <v>143</v>
      </c>
      <c r="B13" s="7" t="s">
        <v>163</v>
      </c>
    </row>
    <row r="14" spans="1:6" ht="74.099999999999994" customHeight="1">
      <c r="A14" s="3" t="s">
        <v>144</v>
      </c>
      <c r="B14" s="7" t="s">
        <v>163</v>
      </c>
    </row>
    <row r="15" spans="1:6" ht="74.099999999999994" customHeight="1">
      <c r="A15" s="5" t="s">
        <v>145</v>
      </c>
      <c r="B15" s="9" t="s">
        <v>163</v>
      </c>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Thito Relebohile</cp:lastModifiedBy>
  <dcterms:modified xsi:type="dcterms:W3CDTF">2026-10-25T12:38:30Z</dcterms:modified>
</cp:coreProperties>
</file>